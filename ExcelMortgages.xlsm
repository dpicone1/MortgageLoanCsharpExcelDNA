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001" codeName="{662AC1DA-710E-409A-AF98-282AFDE2298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men.DESKTOP-BL4E2C3\Documents\Domenico\CsDomExercises\GitHub\MBSExcel\"/>
    </mc:Choice>
  </mc:AlternateContent>
  <xr:revisionPtr revIDLastSave="0" documentId="13_ncr:1_{5CECED79-1204-4A15-9E88-5EBA3A98C558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# Excel" sheetId="4" r:id="rId1"/>
    <sheet name="C# VBA and Loan Data Input" sheetId="3" r:id="rId2"/>
    <sheet name="LiborCurve" sheetId="5" r:id="rId3"/>
    <sheet name="Choices" sheetId="6" r:id="rId4"/>
  </sheets>
  <definedNames>
    <definedName name="Balance">'C# VBA and Loan Data Input'!$B$6</definedName>
    <definedName name="BegBalanceOutput">'C# VBA and Loan Data Input'!$B$10:$B$369</definedName>
    <definedName name="CashCollectionsOutput">'C# VBA and Loan Data Input'!$E$10:$E$369</definedName>
    <definedName name="CashFlowOutput">'C# VBA and Loan Data Input'!$B$10:$F$369</definedName>
    <definedName name="EndBalanceOutput">'C# VBA and Loan Data Input'!$F$10:$F$369</definedName>
    <definedName name="InterestOutput">'C# VBA and Loan Data Input'!$C$10:$C$369</definedName>
    <definedName name="LiborCurve">LiborCurve!$A$2:$A$361</definedName>
    <definedName name="LoadLiborCurve">'C# Excel'!$J$4</definedName>
    <definedName name="LoadMortgageLoan">'C# Excel'!$J$5</definedName>
    <definedName name="LoanType">'C# VBA and Loan Data Input'!$G$6</definedName>
    <definedName name="Maturity">'C# VBA and Loan Data Input'!$E$6</definedName>
    <definedName name="PrincipalOutput">'C# VBA and Loan Data Input'!$D$10:$D$369</definedName>
    <definedName name="Rate">'C# VBA and Loan Data Input'!$C$6</definedName>
    <definedName name="RepaymentType">'C# VBA and Loan Data Input'!$H$6</definedName>
    <definedName name="ReSetting">'C# VBA and Loan Data Input'!$F$6</definedName>
    <definedName name="Spread">'C# VBA and Loan Data Input'!$D$6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5" i="3" l="1"/>
  <c r="L4" i="3"/>
  <c r="L3" i="3"/>
  <c r="F8" i="3"/>
  <c r="M6" i="3" s="1"/>
  <c r="J4" i="4"/>
  <c r="D2" i="4" l="1"/>
  <c r="A9" i="4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  <c r="A78" i="4" s="1"/>
  <c r="A79" i="4" s="1"/>
  <c r="A80" i="4" s="1"/>
  <c r="A81" i="4" s="1"/>
  <c r="A82" i="4" s="1"/>
  <c r="A83" i="4" s="1"/>
  <c r="A84" i="4" s="1"/>
  <c r="A85" i="4" s="1"/>
  <c r="A86" i="4" s="1"/>
  <c r="A87" i="4" s="1"/>
  <c r="A88" i="4" s="1"/>
  <c r="A89" i="4" s="1"/>
  <c r="A90" i="4" s="1"/>
  <c r="A91" i="4" s="1"/>
  <c r="A92" i="4" s="1"/>
  <c r="A93" i="4" s="1"/>
  <c r="A94" i="4" s="1"/>
  <c r="A95" i="4" s="1"/>
  <c r="A96" i="4" s="1"/>
  <c r="A97" i="4" s="1"/>
  <c r="A98" i="4" s="1"/>
  <c r="A99" i="4" s="1"/>
  <c r="A100" i="4" s="1"/>
  <c r="A101" i="4" s="1"/>
  <c r="A102" i="4" s="1"/>
  <c r="A103" i="4" s="1"/>
  <c r="A104" i="4" s="1"/>
  <c r="A105" i="4" s="1"/>
  <c r="A106" i="4" s="1"/>
  <c r="A107" i="4" s="1"/>
  <c r="A108" i="4" s="1"/>
  <c r="A109" i="4" s="1"/>
  <c r="A110" i="4" s="1"/>
  <c r="A111" i="4" s="1"/>
  <c r="A112" i="4" s="1"/>
  <c r="A113" i="4" s="1"/>
  <c r="A114" i="4" s="1"/>
  <c r="A115" i="4" s="1"/>
  <c r="A116" i="4" s="1"/>
  <c r="A117" i="4" s="1"/>
  <c r="A118" i="4" s="1"/>
  <c r="A119" i="4" s="1"/>
  <c r="A120" i="4" s="1"/>
  <c r="A121" i="4" s="1"/>
  <c r="A122" i="4" s="1"/>
  <c r="A123" i="4" s="1"/>
  <c r="A124" i="4" s="1"/>
  <c r="A125" i="4" s="1"/>
  <c r="A126" i="4" s="1"/>
  <c r="A127" i="4" s="1"/>
  <c r="A128" i="4" s="1"/>
  <c r="A129" i="4" s="1"/>
  <c r="A130" i="4" s="1"/>
  <c r="A131" i="4" s="1"/>
  <c r="A132" i="4" s="1"/>
  <c r="A133" i="4" s="1"/>
  <c r="A134" i="4" s="1"/>
  <c r="A135" i="4" s="1"/>
  <c r="A136" i="4" s="1"/>
  <c r="A137" i="4" s="1"/>
  <c r="A138" i="4" s="1"/>
  <c r="A139" i="4" s="1"/>
  <c r="A140" i="4" s="1"/>
  <c r="A141" i="4" s="1"/>
  <c r="A142" i="4" s="1"/>
  <c r="A143" i="4" s="1"/>
  <c r="A144" i="4" s="1"/>
  <c r="A145" i="4" s="1"/>
  <c r="A146" i="4" s="1"/>
  <c r="A147" i="4" s="1"/>
  <c r="A148" i="4" s="1"/>
  <c r="A149" i="4" s="1"/>
  <c r="A150" i="4" s="1"/>
  <c r="A151" i="4" s="1"/>
  <c r="A152" i="4" s="1"/>
  <c r="A153" i="4" s="1"/>
  <c r="A154" i="4" s="1"/>
  <c r="A155" i="4" s="1"/>
  <c r="A156" i="4" s="1"/>
  <c r="A157" i="4" s="1"/>
  <c r="A158" i="4" s="1"/>
  <c r="A159" i="4" s="1"/>
  <c r="A160" i="4" s="1"/>
  <c r="A161" i="4" s="1"/>
  <c r="A162" i="4" s="1"/>
  <c r="A163" i="4" s="1"/>
  <c r="A164" i="4" s="1"/>
  <c r="A165" i="4" s="1"/>
  <c r="A166" i="4" s="1"/>
  <c r="A167" i="4" s="1"/>
  <c r="A168" i="4" s="1"/>
  <c r="A169" i="4" s="1"/>
  <c r="A170" i="4" s="1"/>
  <c r="A171" i="4" s="1"/>
  <c r="A172" i="4" s="1"/>
  <c r="A173" i="4" s="1"/>
  <c r="A174" i="4" s="1"/>
  <c r="A175" i="4" s="1"/>
  <c r="A176" i="4" s="1"/>
  <c r="A177" i="4" s="1"/>
  <c r="A178" i="4" s="1"/>
  <c r="A179" i="4" s="1"/>
  <c r="A180" i="4" s="1"/>
  <c r="A181" i="4" s="1"/>
  <c r="A182" i="4" s="1"/>
  <c r="A183" i="4" s="1"/>
  <c r="A184" i="4" s="1"/>
  <c r="A185" i="4" s="1"/>
  <c r="A186" i="4" s="1"/>
  <c r="A187" i="4" s="1"/>
  <c r="A188" i="4" s="1"/>
  <c r="A189" i="4" s="1"/>
  <c r="A190" i="4" s="1"/>
  <c r="A191" i="4" s="1"/>
  <c r="A192" i="4" s="1"/>
  <c r="A193" i="4" s="1"/>
  <c r="A194" i="4" s="1"/>
  <c r="A195" i="4" s="1"/>
  <c r="A196" i="4" s="1"/>
  <c r="A197" i="4" s="1"/>
  <c r="A198" i="4" s="1"/>
  <c r="A199" i="4" s="1"/>
  <c r="A200" i="4" s="1"/>
  <c r="A201" i="4" s="1"/>
  <c r="A202" i="4" s="1"/>
  <c r="A203" i="4" s="1"/>
  <c r="A204" i="4" s="1"/>
  <c r="A205" i="4" s="1"/>
  <c r="A206" i="4" s="1"/>
  <c r="A207" i="4" s="1"/>
  <c r="A208" i="4" s="1"/>
  <c r="A209" i="4" s="1"/>
  <c r="A210" i="4" s="1"/>
  <c r="A211" i="4" s="1"/>
  <c r="A212" i="4" s="1"/>
  <c r="A213" i="4" s="1"/>
  <c r="A214" i="4" s="1"/>
  <c r="A215" i="4" s="1"/>
  <c r="A216" i="4" s="1"/>
  <c r="A217" i="4" s="1"/>
  <c r="A218" i="4" s="1"/>
  <c r="A219" i="4" s="1"/>
  <c r="A220" i="4" s="1"/>
  <c r="A221" i="4" s="1"/>
  <c r="A222" i="4" s="1"/>
  <c r="A223" i="4" s="1"/>
  <c r="A224" i="4" s="1"/>
  <c r="A225" i="4" s="1"/>
  <c r="A226" i="4" s="1"/>
  <c r="A227" i="4" s="1"/>
  <c r="A228" i="4" s="1"/>
  <c r="A229" i="4" s="1"/>
  <c r="A230" i="4" s="1"/>
  <c r="A231" i="4" s="1"/>
  <c r="A232" i="4" s="1"/>
  <c r="A233" i="4" s="1"/>
  <c r="A234" i="4" s="1"/>
  <c r="A235" i="4" s="1"/>
  <c r="A236" i="4" s="1"/>
  <c r="A237" i="4" s="1"/>
  <c r="A238" i="4" s="1"/>
  <c r="A239" i="4" s="1"/>
  <c r="A240" i="4" s="1"/>
  <c r="A241" i="4" s="1"/>
  <c r="A242" i="4" s="1"/>
  <c r="A243" i="4" s="1"/>
  <c r="A244" i="4" s="1"/>
  <c r="A245" i="4" s="1"/>
  <c r="A246" i="4" s="1"/>
  <c r="A247" i="4" s="1"/>
  <c r="A248" i="4" s="1"/>
  <c r="A249" i="4" s="1"/>
  <c r="A250" i="4" s="1"/>
  <c r="A251" i="4" s="1"/>
  <c r="A252" i="4" s="1"/>
  <c r="A253" i="4" s="1"/>
  <c r="A254" i="4" s="1"/>
  <c r="A255" i="4" s="1"/>
  <c r="A256" i="4" s="1"/>
  <c r="A257" i="4" s="1"/>
  <c r="A258" i="4" s="1"/>
  <c r="A259" i="4" s="1"/>
  <c r="A260" i="4" s="1"/>
  <c r="A261" i="4" s="1"/>
  <c r="A262" i="4" s="1"/>
  <c r="A263" i="4" s="1"/>
  <c r="A264" i="4" s="1"/>
  <c r="A265" i="4" s="1"/>
  <c r="A266" i="4" s="1"/>
  <c r="A267" i="4" s="1"/>
  <c r="A268" i="4" s="1"/>
  <c r="A269" i="4" s="1"/>
  <c r="A270" i="4" s="1"/>
  <c r="A271" i="4" s="1"/>
  <c r="A272" i="4" s="1"/>
  <c r="A273" i="4" s="1"/>
  <c r="A274" i="4" s="1"/>
  <c r="A275" i="4" s="1"/>
  <c r="A276" i="4" s="1"/>
  <c r="A277" i="4" s="1"/>
  <c r="A278" i="4" s="1"/>
  <c r="A279" i="4" s="1"/>
  <c r="A280" i="4" s="1"/>
  <c r="A281" i="4" s="1"/>
  <c r="A282" i="4" s="1"/>
  <c r="A283" i="4" s="1"/>
  <c r="A284" i="4" s="1"/>
  <c r="A285" i="4" s="1"/>
  <c r="A286" i="4" s="1"/>
  <c r="A287" i="4" s="1"/>
  <c r="A288" i="4" s="1"/>
  <c r="A289" i="4" s="1"/>
  <c r="A290" i="4" s="1"/>
  <c r="A291" i="4" s="1"/>
  <c r="A292" i="4" s="1"/>
  <c r="A293" i="4" s="1"/>
  <c r="A294" i="4" s="1"/>
  <c r="A295" i="4" s="1"/>
  <c r="A296" i="4" s="1"/>
  <c r="A297" i="4" s="1"/>
  <c r="A298" i="4" s="1"/>
  <c r="A299" i="4" s="1"/>
  <c r="A300" i="4" s="1"/>
  <c r="A301" i="4" s="1"/>
  <c r="A302" i="4" s="1"/>
  <c r="A303" i="4" s="1"/>
  <c r="A304" i="4" s="1"/>
  <c r="A305" i="4" s="1"/>
  <c r="A306" i="4" s="1"/>
  <c r="A307" i="4" s="1"/>
  <c r="A308" i="4" s="1"/>
  <c r="A309" i="4" s="1"/>
  <c r="A310" i="4" s="1"/>
  <c r="A311" i="4" s="1"/>
  <c r="A312" i="4" s="1"/>
  <c r="A313" i="4" s="1"/>
  <c r="A314" i="4" s="1"/>
  <c r="A315" i="4" s="1"/>
  <c r="A316" i="4" s="1"/>
  <c r="A317" i="4" s="1"/>
  <c r="A318" i="4" s="1"/>
  <c r="A319" i="4" s="1"/>
  <c r="A320" i="4" s="1"/>
  <c r="A321" i="4" s="1"/>
  <c r="A322" i="4" s="1"/>
  <c r="A323" i="4" s="1"/>
  <c r="A324" i="4" s="1"/>
  <c r="A325" i="4" s="1"/>
  <c r="A326" i="4" s="1"/>
  <c r="A327" i="4" s="1"/>
  <c r="A328" i="4" s="1"/>
  <c r="A329" i="4" s="1"/>
  <c r="A330" i="4" s="1"/>
  <c r="A331" i="4" s="1"/>
  <c r="A332" i="4" s="1"/>
  <c r="A333" i="4" s="1"/>
  <c r="A334" i="4" s="1"/>
  <c r="A335" i="4" s="1"/>
  <c r="A336" i="4" s="1"/>
  <c r="A337" i="4" s="1"/>
  <c r="A338" i="4" s="1"/>
  <c r="A339" i="4" s="1"/>
  <c r="A340" i="4" s="1"/>
  <c r="A341" i="4" s="1"/>
  <c r="A342" i="4" s="1"/>
  <c r="A343" i="4" s="1"/>
  <c r="A344" i="4" s="1"/>
  <c r="A345" i="4" s="1"/>
  <c r="A346" i="4" s="1"/>
  <c r="A347" i="4" s="1"/>
  <c r="A348" i="4" s="1"/>
  <c r="A349" i="4" s="1"/>
  <c r="A350" i="4" s="1"/>
  <c r="A351" i="4" s="1"/>
  <c r="A352" i="4" s="1"/>
  <c r="A353" i="4" s="1"/>
  <c r="A354" i="4" s="1"/>
  <c r="A355" i="4" s="1"/>
  <c r="A356" i="4" s="1"/>
  <c r="A357" i="4" s="1"/>
  <c r="A358" i="4" s="1"/>
  <c r="A359" i="4" s="1"/>
  <c r="A360" i="4" s="1"/>
  <c r="A361" i="4" s="1"/>
  <c r="A362" i="4" s="1"/>
  <c r="A363" i="4" s="1"/>
  <c r="A364" i="4" s="1"/>
  <c r="A365" i="4" s="1"/>
  <c r="A366" i="4" s="1"/>
  <c r="A367" i="4" s="1"/>
  <c r="G2" i="4" l="1"/>
  <c r="F2" i="4"/>
  <c r="Q33" i="4" s="1"/>
  <c r="E2" i="4"/>
  <c r="C2" i="4"/>
  <c r="B2" i="4"/>
  <c r="O9" i="4"/>
  <c r="O10" i="4" s="1"/>
  <c r="O11" i="4" s="1"/>
  <c r="O12" i="4" s="1"/>
  <c r="J5" i="4"/>
  <c r="Q10" i="4" l="1"/>
  <c r="Q11" i="4"/>
  <c r="Q12" i="4"/>
  <c r="Q8" i="4"/>
  <c r="Q9" i="4"/>
  <c r="O13" i="4"/>
  <c r="Q13" i="4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A210" i="3" s="1"/>
  <c r="A211" i="3" s="1"/>
  <c r="A212" i="3" s="1"/>
  <c r="A213" i="3" s="1"/>
  <c r="A214" i="3" s="1"/>
  <c r="A215" i="3" s="1"/>
  <c r="A216" i="3" s="1"/>
  <c r="A217" i="3" s="1"/>
  <c r="A218" i="3" s="1"/>
  <c r="A219" i="3" s="1"/>
  <c r="A220" i="3" s="1"/>
  <c r="A221" i="3" s="1"/>
  <c r="A222" i="3" s="1"/>
  <c r="A223" i="3" s="1"/>
  <c r="A224" i="3" s="1"/>
  <c r="A225" i="3" s="1"/>
  <c r="A226" i="3" s="1"/>
  <c r="A227" i="3" s="1"/>
  <c r="A228" i="3" s="1"/>
  <c r="A229" i="3" s="1"/>
  <c r="A230" i="3" s="1"/>
  <c r="A231" i="3" s="1"/>
  <c r="A232" i="3" s="1"/>
  <c r="A233" i="3" s="1"/>
  <c r="A234" i="3" s="1"/>
  <c r="A235" i="3" s="1"/>
  <c r="A236" i="3" s="1"/>
  <c r="A237" i="3" s="1"/>
  <c r="A238" i="3" s="1"/>
  <c r="A239" i="3" s="1"/>
  <c r="A240" i="3" s="1"/>
  <c r="A241" i="3" s="1"/>
  <c r="A242" i="3" s="1"/>
  <c r="A243" i="3" s="1"/>
  <c r="A244" i="3" s="1"/>
  <c r="A245" i="3" s="1"/>
  <c r="A246" i="3" s="1"/>
  <c r="A247" i="3" s="1"/>
  <c r="A248" i="3" s="1"/>
  <c r="A249" i="3" s="1"/>
  <c r="A250" i="3" s="1"/>
  <c r="A251" i="3" s="1"/>
  <c r="A252" i="3" s="1"/>
  <c r="A253" i="3" s="1"/>
  <c r="A254" i="3" s="1"/>
  <c r="A255" i="3" s="1"/>
  <c r="A256" i="3" s="1"/>
  <c r="A257" i="3" s="1"/>
  <c r="A258" i="3" s="1"/>
  <c r="A259" i="3" s="1"/>
  <c r="A260" i="3" s="1"/>
  <c r="A261" i="3" s="1"/>
  <c r="A262" i="3" s="1"/>
  <c r="A263" i="3" s="1"/>
  <c r="A264" i="3" s="1"/>
  <c r="A265" i="3" s="1"/>
  <c r="A266" i="3" s="1"/>
  <c r="A267" i="3" s="1"/>
  <c r="A268" i="3" s="1"/>
  <c r="A269" i="3" s="1"/>
  <c r="A270" i="3" s="1"/>
  <c r="A271" i="3" s="1"/>
  <c r="A272" i="3" s="1"/>
  <c r="A273" i="3" s="1"/>
  <c r="A274" i="3" s="1"/>
  <c r="A275" i="3" s="1"/>
  <c r="A276" i="3" s="1"/>
  <c r="A277" i="3" s="1"/>
  <c r="A278" i="3" s="1"/>
  <c r="A279" i="3" s="1"/>
  <c r="A280" i="3" s="1"/>
  <c r="A281" i="3" s="1"/>
  <c r="A282" i="3" s="1"/>
  <c r="A283" i="3" s="1"/>
  <c r="A284" i="3" s="1"/>
  <c r="A285" i="3" s="1"/>
  <c r="A286" i="3" s="1"/>
  <c r="A287" i="3" s="1"/>
  <c r="A288" i="3" s="1"/>
  <c r="A289" i="3" s="1"/>
  <c r="A290" i="3" s="1"/>
  <c r="A291" i="3" s="1"/>
  <c r="A292" i="3" s="1"/>
  <c r="A293" i="3" s="1"/>
  <c r="A294" i="3" s="1"/>
  <c r="A295" i="3" s="1"/>
  <c r="A296" i="3" s="1"/>
  <c r="A297" i="3" s="1"/>
  <c r="A298" i="3" s="1"/>
  <c r="A299" i="3" s="1"/>
  <c r="A300" i="3" s="1"/>
  <c r="A301" i="3" s="1"/>
  <c r="A302" i="3" s="1"/>
  <c r="A303" i="3" s="1"/>
  <c r="A304" i="3" s="1"/>
  <c r="A305" i="3" s="1"/>
  <c r="A306" i="3" s="1"/>
  <c r="A307" i="3" s="1"/>
  <c r="A308" i="3" s="1"/>
  <c r="A309" i="3" s="1"/>
  <c r="A310" i="3" s="1"/>
  <c r="A311" i="3" s="1"/>
  <c r="A312" i="3" s="1"/>
  <c r="A313" i="3" s="1"/>
  <c r="A314" i="3" s="1"/>
  <c r="A315" i="3" s="1"/>
  <c r="A316" i="3" s="1"/>
  <c r="A317" i="3" s="1"/>
  <c r="A318" i="3" s="1"/>
  <c r="A319" i="3" s="1"/>
  <c r="A320" i="3" s="1"/>
  <c r="A321" i="3" s="1"/>
  <c r="A322" i="3" s="1"/>
  <c r="A323" i="3" s="1"/>
  <c r="A324" i="3" s="1"/>
  <c r="A325" i="3" s="1"/>
  <c r="A326" i="3" s="1"/>
  <c r="A327" i="3" s="1"/>
  <c r="A328" i="3" s="1"/>
  <c r="A329" i="3" s="1"/>
  <c r="A330" i="3" s="1"/>
  <c r="A331" i="3" s="1"/>
  <c r="A332" i="3" s="1"/>
  <c r="A333" i="3" s="1"/>
  <c r="A334" i="3" s="1"/>
  <c r="A335" i="3" s="1"/>
  <c r="A336" i="3" s="1"/>
  <c r="A337" i="3" s="1"/>
  <c r="A338" i="3" s="1"/>
  <c r="A339" i="3" s="1"/>
  <c r="A340" i="3" s="1"/>
  <c r="A341" i="3" s="1"/>
  <c r="A342" i="3" s="1"/>
  <c r="A343" i="3" s="1"/>
  <c r="A344" i="3" s="1"/>
  <c r="A345" i="3" s="1"/>
  <c r="A346" i="3" s="1"/>
  <c r="A347" i="3" s="1"/>
  <c r="A348" i="3" s="1"/>
  <c r="A349" i="3" s="1"/>
  <c r="A350" i="3" s="1"/>
  <c r="A351" i="3" s="1"/>
  <c r="A352" i="3" s="1"/>
  <c r="A353" i="3" s="1"/>
  <c r="A354" i="3" s="1"/>
  <c r="A355" i="3" s="1"/>
  <c r="A356" i="3" s="1"/>
  <c r="A357" i="3" s="1"/>
  <c r="A358" i="3" s="1"/>
  <c r="A359" i="3" s="1"/>
  <c r="A360" i="3" s="1"/>
  <c r="A361" i="3" s="1"/>
  <c r="A362" i="3" s="1"/>
  <c r="A363" i="3" s="1"/>
  <c r="A364" i="3" s="1"/>
  <c r="A365" i="3" s="1"/>
  <c r="A366" i="3" s="1"/>
  <c r="A367" i="3" s="1"/>
  <c r="A368" i="3" s="1"/>
  <c r="A369" i="3" s="1"/>
  <c r="O14" i="4" l="1"/>
  <c r="Q14" i="4" s="1"/>
  <c r="B361" i="5"/>
  <c r="B360" i="5"/>
  <c r="B359" i="5"/>
  <c r="B2" i="5"/>
  <c r="B3" i="5" s="1"/>
  <c r="B4" i="5" s="1"/>
  <c r="B5" i="5" s="1"/>
  <c r="B6" i="5" s="1"/>
  <c r="B7" i="5" s="1"/>
  <c r="B8" i="5" s="1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105" i="5" s="1"/>
  <c r="B106" i="5" s="1"/>
  <c r="B107" i="5" s="1"/>
  <c r="B108" i="5" s="1"/>
  <c r="B109" i="5" s="1"/>
  <c r="B110" i="5" s="1"/>
  <c r="B111" i="5" s="1"/>
  <c r="B112" i="5" s="1"/>
  <c r="B113" i="5" s="1"/>
  <c r="B114" i="5" s="1"/>
  <c r="B115" i="5" s="1"/>
  <c r="B116" i="5" s="1"/>
  <c r="B117" i="5" s="1"/>
  <c r="B118" i="5" s="1"/>
  <c r="B119" i="5" s="1"/>
  <c r="B120" i="5" s="1"/>
  <c r="B121" i="5" s="1"/>
  <c r="B122" i="5" s="1"/>
  <c r="B123" i="5" s="1"/>
  <c r="B124" i="5" s="1"/>
  <c r="B125" i="5" s="1"/>
  <c r="B126" i="5" s="1"/>
  <c r="B127" i="5" s="1"/>
  <c r="B128" i="5" s="1"/>
  <c r="B129" i="5" s="1"/>
  <c r="B130" i="5" s="1"/>
  <c r="B131" i="5" s="1"/>
  <c r="B132" i="5" s="1"/>
  <c r="B133" i="5" s="1"/>
  <c r="B134" i="5" s="1"/>
  <c r="B135" i="5" s="1"/>
  <c r="B136" i="5" s="1"/>
  <c r="B137" i="5" s="1"/>
  <c r="B138" i="5" s="1"/>
  <c r="B139" i="5" s="1"/>
  <c r="B140" i="5" s="1"/>
  <c r="B141" i="5" s="1"/>
  <c r="B142" i="5" s="1"/>
  <c r="B143" i="5" s="1"/>
  <c r="B144" i="5" s="1"/>
  <c r="B145" i="5" s="1"/>
  <c r="B146" i="5" s="1"/>
  <c r="B147" i="5" s="1"/>
  <c r="B148" i="5" s="1"/>
  <c r="B149" i="5" s="1"/>
  <c r="B150" i="5" s="1"/>
  <c r="B151" i="5" s="1"/>
  <c r="B152" i="5" s="1"/>
  <c r="B153" i="5" s="1"/>
  <c r="B154" i="5" s="1"/>
  <c r="B155" i="5" s="1"/>
  <c r="B156" i="5" s="1"/>
  <c r="B157" i="5" s="1"/>
  <c r="B158" i="5" s="1"/>
  <c r="B159" i="5" s="1"/>
  <c r="B160" i="5" s="1"/>
  <c r="B161" i="5" s="1"/>
  <c r="B162" i="5" s="1"/>
  <c r="B163" i="5" s="1"/>
  <c r="B164" i="5" s="1"/>
  <c r="B165" i="5" s="1"/>
  <c r="B166" i="5" s="1"/>
  <c r="B167" i="5" s="1"/>
  <c r="B168" i="5" s="1"/>
  <c r="B169" i="5" s="1"/>
  <c r="B170" i="5" s="1"/>
  <c r="B171" i="5" s="1"/>
  <c r="B172" i="5" s="1"/>
  <c r="B173" i="5" s="1"/>
  <c r="B174" i="5" s="1"/>
  <c r="B175" i="5" s="1"/>
  <c r="B176" i="5" s="1"/>
  <c r="B177" i="5" s="1"/>
  <c r="B178" i="5" s="1"/>
  <c r="B179" i="5" s="1"/>
  <c r="B180" i="5" s="1"/>
  <c r="B181" i="5" s="1"/>
  <c r="B182" i="5" s="1"/>
  <c r="B183" i="5" s="1"/>
  <c r="B184" i="5" s="1"/>
  <c r="B185" i="5" s="1"/>
  <c r="B186" i="5" s="1"/>
  <c r="B187" i="5" s="1"/>
  <c r="B188" i="5" s="1"/>
  <c r="B189" i="5" s="1"/>
  <c r="B190" i="5" s="1"/>
  <c r="B191" i="5" s="1"/>
  <c r="B192" i="5" s="1"/>
  <c r="B193" i="5" s="1"/>
  <c r="B194" i="5" s="1"/>
  <c r="B195" i="5" s="1"/>
  <c r="B196" i="5" s="1"/>
  <c r="B197" i="5" s="1"/>
  <c r="B198" i="5" s="1"/>
  <c r="B199" i="5" s="1"/>
  <c r="B200" i="5" s="1"/>
  <c r="B201" i="5" s="1"/>
  <c r="B202" i="5" s="1"/>
  <c r="B203" i="5" s="1"/>
  <c r="B204" i="5" s="1"/>
  <c r="B205" i="5" s="1"/>
  <c r="B206" i="5" s="1"/>
  <c r="B207" i="5" s="1"/>
  <c r="B208" i="5" s="1"/>
  <c r="B209" i="5" s="1"/>
  <c r="B210" i="5" s="1"/>
  <c r="B211" i="5" s="1"/>
  <c r="B212" i="5" s="1"/>
  <c r="B213" i="5" s="1"/>
  <c r="B214" i="5" s="1"/>
  <c r="B215" i="5" s="1"/>
  <c r="B216" i="5" s="1"/>
  <c r="B217" i="5" s="1"/>
  <c r="B218" i="5" s="1"/>
  <c r="B219" i="5" s="1"/>
  <c r="B220" i="5" s="1"/>
  <c r="B221" i="5" s="1"/>
  <c r="B222" i="5" s="1"/>
  <c r="B223" i="5" s="1"/>
  <c r="B224" i="5" s="1"/>
  <c r="B225" i="5" s="1"/>
  <c r="B226" i="5" s="1"/>
  <c r="B227" i="5" s="1"/>
  <c r="B228" i="5" s="1"/>
  <c r="B229" i="5" s="1"/>
  <c r="B230" i="5" s="1"/>
  <c r="B231" i="5" s="1"/>
  <c r="B232" i="5" s="1"/>
  <c r="B233" i="5" s="1"/>
  <c r="B234" i="5" s="1"/>
  <c r="B235" i="5" s="1"/>
  <c r="B236" i="5" s="1"/>
  <c r="B237" i="5" s="1"/>
  <c r="B238" i="5" s="1"/>
  <c r="B239" i="5" s="1"/>
  <c r="B240" i="5" s="1"/>
  <c r="B241" i="5" s="1"/>
  <c r="B242" i="5" s="1"/>
  <c r="B243" i="5" s="1"/>
  <c r="B244" i="5" s="1"/>
  <c r="B245" i="5" s="1"/>
  <c r="B246" i="5" s="1"/>
  <c r="B247" i="5" s="1"/>
  <c r="B248" i="5" s="1"/>
  <c r="B249" i="5" s="1"/>
  <c r="B250" i="5" s="1"/>
  <c r="B251" i="5" s="1"/>
  <c r="B252" i="5" s="1"/>
  <c r="B253" i="5" s="1"/>
  <c r="B254" i="5" s="1"/>
  <c r="B255" i="5" s="1"/>
  <c r="B256" i="5" s="1"/>
  <c r="B257" i="5" s="1"/>
  <c r="B258" i="5" s="1"/>
  <c r="B259" i="5" s="1"/>
  <c r="B260" i="5" s="1"/>
  <c r="B261" i="5" s="1"/>
  <c r="B262" i="5" s="1"/>
  <c r="B263" i="5" s="1"/>
  <c r="B264" i="5" s="1"/>
  <c r="B265" i="5" s="1"/>
  <c r="B266" i="5" s="1"/>
  <c r="B267" i="5" s="1"/>
  <c r="B268" i="5" s="1"/>
  <c r="B269" i="5" s="1"/>
  <c r="B270" i="5" s="1"/>
  <c r="B271" i="5" s="1"/>
  <c r="B272" i="5" s="1"/>
  <c r="B273" i="5" s="1"/>
  <c r="B274" i="5" s="1"/>
  <c r="B275" i="5" s="1"/>
  <c r="B276" i="5" s="1"/>
  <c r="B277" i="5" s="1"/>
  <c r="B278" i="5" s="1"/>
  <c r="B279" i="5" s="1"/>
  <c r="B280" i="5" s="1"/>
  <c r="B281" i="5" s="1"/>
  <c r="B282" i="5" s="1"/>
  <c r="B283" i="5" s="1"/>
  <c r="B284" i="5" s="1"/>
  <c r="B285" i="5" s="1"/>
  <c r="B286" i="5" s="1"/>
  <c r="B287" i="5" s="1"/>
  <c r="B288" i="5" s="1"/>
  <c r="B289" i="5" s="1"/>
  <c r="B290" i="5" s="1"/>
  <c r="B291" i="5" s="1"/>
  <c r="B292" i="5" s="1"/>
  <c r="B293" i="5" s="1"/>
  <c r="B294" i="5" s="1"/>
  <c r="B295" i="5" s="1"/>
  <c r="B296" i="5" s="1"/>
  <c r="B297" i="5" s="1"/>
  <c r="B298" i="5" s="1"/>
  <c r="B299" i="5" s="1"/>
  <c r="B300" i="5" s="1"/>
  <c r="B301" i="5" s="1"/>
  <c r="B302" i="5" s="1"/>
  <c r="B303" i="5" s="1"/>
  <c r="B304" i="5" s="1"/>
  <c r="B305" i="5" s="1"/>
  <c r="B306" i="5" s="1"/>
  <c r="B307" i="5" s="1"/>
  <c r="B308" i="5" s="1"/>
  <c r="B309" i="5" s="1"/>
  <c r="B310" i="5" s="1"/>
  <c r="B311" i="5" s="1"/>
  <c r="B312" i="5" s="1"/>
  <c r="B313" i="5" s="1"/>
  <c r="B314" i="5" s="1"/>
  <c r="B315" i="5" s="1"/>
  <c r="B316" i="5" s="1"/>
  <c r="B317" i="5" s="1"/>
  <c r="B318" i="5" s="1"/>
  <c r="B319" i="5" s="1"/>
  <c r="B320" i="5" s="1"/>
  <c r="B321" i="5" s="1"/>
  <c r="B322" i="5" s="1"/>
  <c r="B323" i="5" s="1"/>
  <c r="B324" i="5" s="1"/>
  <c r="B325" i="5" s="1"/>
  <c r="B326" i="5" s="1"/>
  <c r="B327" i="5" s="1"/>
  <c r="B328" i="5" s="1"/>
  <c r="B329" i="5" s="1"/>
  <c r="B330" i="5" s="1"/>
  <c r="B331" i="5" s="1"/>
  <c r="B332" i="5" s="1"/>
  <c r="B333" i="5" s="1"/>
  <c r="B334" i="5" s="1"/>
  <c r="B335" i="5" s="1"/>
  <c r="B336" i="5" s="1"/>
  <c r="B337" i="5" s="1"/>
  <c r="B338" i="5" s="1"/>
  <c r="B339" i="5" s="1"/>
  <c r="B340" i="5" s="1"/>
  <c r="B341" i="5" s="1"/>
  <c r="B342" i="5" s="1"/>
  <c r="B343" i="5" s="1"/>
  <c r="B344" i="5" s="1"/>
  <c r="B345" i="5" s="1"/>
  <c r="B346" i="5" s="1"/>
  <c r="B347" i="5" s="1"/>
  <c r="B348" i="5" s="1"/>
  <c r="B349" i="5" s="1"/>
  <c r="B350" i="5" s="1"/>
  <c r="B351" i="5" s="1"/>
  <c r="B352" i="5" s="1"/>
  <c r="B353" i="5" s="1"/>
  <c r="B354" i="5" s="1"/>
  <c r="B355" i="5" s="1"/>
  <c r="B356" i="5" s="1"/>
  <c r="B357" i="5" s="1"/>
  <c r="B358" i="5" s="1"/>
  <c r="A2" i="4"/>
  <c r="C8" i="4" a="1"/>
  <c r="P8" i="4" l="1"/>
  <c r="R8" i="4" s="1"/>
  <c r="O15" i="4"/>
  <c r="Q15" i="4" s="1"/>
  <c r="E8" i="4"/>
  <c r="F11" i="4"/>
  <c r="G14" i="4"/>
  <c r="C18" i="4"/>
  <c r="D21" i="4"/>
  <c r="E24" i="4"/>
  <c r="F27" i="4"/>
  <c r="G30" i="4"/>
  <c r="C34" i="4"/>
  <c r="D37" i="4"/>
  <c r="E40" i="4"/>
  <c r="F43" i="4"/>
  <c r="G46" i="4"/>
  <c r="C50" i="4"/>
  <c r="D53" i="4"/>
  <c r="E56" i="4"/>
  <c r="F59" i="4"/>
  <c r="G62" i="4"/>
  <c r="C66" i="4"/>
  <c r="D69" i="4"/>
  <c r="E72" i="4"/>
  <c r="F75" i="4"/>
  <c r="C12" i="4"/>
  <c r="D16" i="4"/>
  <c r="F20" i="4"/>
  <c r="G24" i="4"/>
  <c r="C29" i="4"/>
  <c r="E33" i="4"/>
  <c r="F37" i="4"/>
  <c r="G41" i="4"/>
  <c r="D46" i="4"/>
  <c r="E50" i="4"/>
  <c r="F54" i="4"/>
  <c r="C59" i="4"/>
  <c r="D63" i="4"/>
  <c r="E67" i="4"/>
  <c r="G71" i="4"/>
  <c r="C76" i="4"/>
  <c r="D79" i="4"/>
  <c r="E82" i="4"/>
  <c r="F85" i="4"/>
  <c r="G88" i="4"/>
  <c r="C92" i="4"/>
  <c r="D11" i="4"/>
  <c r="E15" i="4"/>
  <c r="G19" i="4"/>
  <c r="C24" i="4"/>
  <c r="D28" i="4"/>
  <c r="F32" i="4"/>
  <c r="G36" i="4"/>
  <c r="C41" i="4"/>
  <c r="E45" i="4"/>
  <c r="F49" i="4"/>
  <c r="G53" i="4"/>
  <c r="D58" i="4"/>
  <c r="E62" i="4"/>
  <c r="F66" i="4"/>
  <c r="C71" i="4"/>
  <c r="D75" i="4"/>
  <c r="F78" i="4"/>
  <c r="F14" i="4"/>
  <c r="D23" i="4"/>
  <c r="G31" i="4"/>
  <c r="D40" i="4"/>
  <c r="G48" i="4"/>
  <c r="E57" i="4"/>
  <c r="G65" i="4"/>
  <c r="E74" i="4"/>
  <c r="E80" i="4"/>
  <c r="F84" i="4"/>
  <c r="C89" i="4"/>
  <c r="C93" i="4"/>
  <c r="D96" i="4"/>
  <c r="E99" i="4"/>
  <c r="F102" i="4"/>
  <c r="G105" i="4"/>
  <c r="C109" i="4"/>
  <c r="D112" i="4"/>
  <c r="E115" i="4"/>
  <c r="F118" i="4"/>
  <c r="G121" i="4"/>
  <c r="C125" i="4"/>
  <c r="D128" i="4"/>
  <c r="E131" i="4"/>
  <c r="F134" i="4"/>
  <c r="C10" i="4"/>
  <c r="D13" i="4"/>
  <c r="E16" i="4"/>
  <c r="F19" i="4"/>
  <c r="G22" i="4"/>
  <c r="C26" i="4"/>
  <c r="D29" i="4"/>
  <c r="E32" i="4"/>
  <c r="F35" i="4"/>
  <c r="G38" i="4"/>
  <c r="C42" i="4"/>
  <c r="D45" i="4"/>
  <c r="E48" i="4"/>
  <c r="F51" i="4"/>
  <c r="G54" i="4"/>
  <c r="C58" i="4"/>
  <c r="D61" i="4"/>
  <c r="E64" i="4"/>
  <c r="F67" i="4"/>
  <c r="G70" i="4"/>
  <c r="C74" i="4"/>
  <c r="G9" i="4"/>
  <c r="D14" i="4"/>
  <c r="E18" i="4"/>
  <c r="F22" i="4"/>
  <c r="C27" i="4"/>
  <c r="D31" i="4"/>
  <c r="E35" i="4"/>
  <c r="G39" i="4"/>
  <c r="C44" i="4"/>
  <c r="D48" i="4"/>
  <c r="F52" i="4"/>
  <c r="G56" i="4"/>
  <c r="C61" i="4"/>
  <c r="E65" i="4"/>
  <c r="F69" i="4"/>
  <c r="G73" i="4"/>
  <c r="F77" i="4"/>
  <c r="G80" i="4"/>
  <c r="C84" i="4"/>
  <c r="D87" i="4"/>
  <c r="E90" i="4"/>
  <c r="C9" i="4"/>
  <c r="E13" i="4"/>
  <c r="F17" i="4"/>
  <c r="G21" i="4"/>
  <c r="D26" i="4"/>
  <c r="E30" i="4"/>
  <c r="F34" i="4"/>
  <c r="C39" i="4"/>
  <c r="D43" i="4"/>
  <c r="E47" i="4"/>
  <c r="G51" i="4"/>
  <c r="C56" i="4"/>
  <c r="D60" i="4"/>
  <c r="F64" i="4"/>
  <c r="G68" i="4"/>
  <c r="C73" i="4"/>
  <c r="C77" i="4"/>
  <c r="E10" i="4"/>
  <c r="C19" i="4"/>
  <c r="E27" i="4"/>
  <c r="C36" i="4"/>
  <c r="F44" i="4"/>
  <c r="C53" i="4"/>
  <c r="F61" i="4"/>
  <c r="D70" i="4"/>
  <c r="C78" i="4"/>
  <c r="F82" i="4"/>
  <c r="G86" i="4"/>
  <c r="C91" i="4"/>
  <c r="F94" i="4"/>
  <c r="G10" i="4"/>
  <c r="C14" i="4"/>
  <c r="D17" i="4"/>
  <c r="E20" i="4"/>
  <c r="F23" i="4"/>
  <c r="G26" i="4"/>
  <c r="C30" i="4"/>
  <c r="D33" i="4"/>
  <c r="E36" i="4"/>
  <c r="F39" i="4"/>
  <c r="G42" i="4"/>
  <c r="C46" i="4"/>
  <c r="D49" i="4"/>
  <c r="E52" i="4"/>
  <c r="F55" i="4"/>
  <c r="G58" i="4"/>
  <c r="C62" i="4"/>
  <c r="D65" i="4"/>
  <c r="E68" i="4"/>
  <c r="F71" i="4"/>
  <c r="G74" i="4"/>
  <c r="C11" i="4"/>
  <c r="D15" i="4"/>
  <c r="E19" i="4"/>
  <c r="G23" i="4"/>
  <c r="C28" i="4"/>
  <c r="D32" i="4"/>
  <c r="F36" i="4"/>
  <c r="G40" i="4"/>
  <c r="C45" i="4"/>
  <c r="E49" i="4"/>
  <c r="F53" i="4"/>
  <c r="G57" i="4"/>
  <c r="D62" i="4"/>
  <c r="E66" i="4"/>
  <c r="F70" i="4"/>
  <c r="C75" i="4"/>
  <c r="E78" i="4"/>
  <c r="F81" i="4"/>
  <c r="G84" i="4"/>
  <c r="C88" i="4"/>
  <c r="D91" i="4"/>
  <c r="D10" i="4"/>
  <c r="E14" i="4"/>
  <c r="F18" i="4"/>
  <c r="C23" i="4"/>
  <c r="D27" i="4"/>
  <c r="E31" i="4"/>
  <c r="G35" i="4"/>
  <c r="C40" i="4"/>
  <c r="D44" i="4"/>
  <c r="F48" i="4"/>
  <c r="G52" i="4"/>
  <c r="C57" i="4"/>
  <c r="E61" i="4"/>
  <c r="F65" i="4"/>
  <c r="G69" i="4"/>
  <c r="D74" i="4"/>
  <c r="G77" i="4"/>
  <c r="F12" i="4"/>
  <c r="C21" i="4"/>
  <c r="F29" i="4"/>
  <c r="D38" i="4"/>
  <c r="F46" i="4"/>
  <c r="D55" i="4"/>
  <c r="G63" i="4"/>
  <c r="D72" i="4"/>
  <c r="E79" i="4"/>
  <c r="F83" i="4"/>
  <c r="G87" i="4"/>
  <c r="F15" i="4"/>
  <c r="E28" i="4"/>
  <c r="D41" i="4"/>
  <c r="C54" i="4"/>
  <c r="G66" i="4"/>
  <c r="C13" i="4"/>
  <c r="D30" i="4"/>
  <c r="D47" i="4"/>
  <c r="D64" i="4"/>
  <c r="C80" i="4"/>
  <c r="C8" i="4"/>
  <c r="C25" i="4"/>
  <c r="D42" i="4"/>
  <c r="D59" i="4"/>
  <c r="D76" i="4"/>
  <c r="G33" i="4"/>
  <c r="C68" i="4"/>
  <c r="C90" i="4"/>
  <c r="C97" i="4"/>
  <c r="C101" i="4"/>
  <c r="C105" i="4"/>
  <c r="G109" i="4"/>
  <c r="G113" i="4"/>
  <c r="G117" i="4"/>
  <c r="F122" i="4"/>
  <c r="F126" i="4"/>
  <c r="F130" i="4"/>
  <c r="E135" i="4"/>
  <c r="F138" i="4"/>
  <c r="G141" i="4"/>
  <c r="C145" i="4"/>
  <c r="F8" i="4"/>
  <c r="C17" i="4"/>
  <c r="F25" i="4"/>
  <c r="D34" i="4"/>
  <c r="F42" i="4"/>
  <c r="D51" i="4"/>
  <c r="G59" i="4"/>
  <c r="D68" i="4"/>
  <c r="F76" i="4"/>
  <c r="G81" i="4"/>
  <c r="C86" i="4"/>
  <c r="D90" i="4"/>
  <c r="C94" i="4"/>
  <c r="D97" i="4"/>
  <c r="E100" i="4"/>
  <c r="F103" i="4"/>
  <c r="G106" i="4"/>
  <c r="C110" i="4"/>
  <c r="D113" i="4"/>
  <c r="E116" i="4"/>
  <c r="F119" i="4"/>
  <c r="G122" i="4"/>
  <c r="D22" i="4"/>
  <c r="D39" i="4"/>
  <c r="D56" i="4"/>
  <c r="E73" i="4"/>
  <c r="D84" i="4"/>
  <c r="F92" i="4"/>
  <c r="C99" i="4"/>
  <c r="E105" i="4"/>
  <c r="G111" i="4"/>
  <c r="D118" i="4"/>
  <c r="C124" i="4"/>
  <c r="E128" i="4"/>
  <c r="F132" i="4"/>
  <c r="G136" i="4"/>
  <c r="D141" i="4"/>
  <c r="E145" i="4"/>
  <c r="D149" i="4"/>
  <c r="E152" i="4"/>
  <c r="F155" i="4"/>
  <c r="G158" i="4"/>
  <c r="C162" i="4"/>
  <c r="D165" i="4"/>
  <c r="E168" i="4"/>
  <c r="F171" i="4"/>
  <c r="G174" i="4"/>
  <c r="C178" i="4"/>
  <c r="D181" i="4"/>
  <c r="E184" i="4"/>
  <c r="F187" i="4"/>
  <c r="G190" i="4"/>
  <c r="C194" i="4"/>
  <c r="D197" i="4"/>
  <c r="G18" i="4"/>
  <c r="F31" i="4"/>
  <c r="E44" i="4"/>
  <c r="D57" i="4"/>
  <c r="C70" i="4"/>
  <c r="E17" i="4"/>
  <c r="E34" i="4"/>
  <c r="E51" i="4"/>
  <c r="F68" i="4"/>
  <c r="D83" i="4"/>
  <c r="D12" i="4"/>
  <c r="E29" i="4"/>
  <c r="E46" i="4"/>
  <c r="E63" i="4"/>
  <c r="D8" i="4"/>
  <c r="E42" i="4"/>
  <c r="E76" i="4"/>
  <c r="D92" i="4"/>
  <c r="G97" i="4"/>
  <c r="G101" i="4"/>
  <c r="F106" i="4"/>
  <c r="F110" i="4"/>
  <c r="F114" i="4"/>
  <c r="E119" i="4"/>
  <c r="E123" i="4"/>
  <c r="E127" i="4"/>
  <c r="D132" i="4"/>
  <c r="D136" i="4"/>
  <c r="E139" i="4"/>
  <c r="F142" i="4"/>
  <c r="G145" i="4"/>
  <c r="F10" i="4"/>
  <c r="D19" i="4"/>
  <c r="G27" i="4"/>
  <c r="D36" i="4"/>
  <c r="G44" i="4"/>
  <c r="E53" i="4"/>
  <c r="G61" i="4"/>
  <c r="E70" i="4"/>
  <c r="D78" i="4"/>
  <c r="G82" i="4"/>
  <c r="C87" i="4"/>
  <c r="E91" i="4"/>
  <c r="G94" i="4"/>
  <c r="C98" i="4"/>
  <c r="D101" i="4"/>
  <c r="E104" i="4"/>
  <c r="F107" i="4"/>
  <c r="G110" i="4"/>
  <c r="C114" i="4"/>
  <c r="D117" i="4"/>
  <c r="E120" i="4"/>
  <c r="E9" i="4"/>
  <c r="E26" i="4"/>
  <c r="E43" i="4"/>
  <c r="F60" i="4"/>
  <c r="D77" i="4"/>
  <c r="D86" i="4"/>
  <c r="D94" i="4"/>
  <c r="F100" i="4"/>
  <c r="C107" i="4"/>
  <c r="E113" i="4"/>
  <c r="G119" i="4"/>
  <c r="D125" i="4"/>
  <c r="E129" i="4"/>
  <c r="F133" i="4"/>
  <c r="C138" i="4"/>
  <c r="D142" i="4"/>
  <c r="E146" i="4"/>
  <c r="C150" i="4"/>
  <c r="D153" i="4"/>
  <c r="E156" i="4"/>
  <c r="F159" i="4"/>
  <c r="G162" i="4"/>
  <c r="C22" i="4"/>
  <c r="F47" i="4"/>
  <c r="D73" i="4"/>
  <c r="F38" i="4"/>
  <c r="G72" i="4"/>
  <c r="F16" i="4"/>
  <c r="F50" i="4"/>
  <c r="G16" i="4"/>
  <c r="E81" i="4"/>
  <c r="F98" i="4"/>
  <c r="E107" i="4"/>
  <c r="D116" i="4"/>
  <c r="D124" i="4"/>
  <c r="C133" i="4"/>
  <c r="D140" i="4"/>
  <c r="F146" i="4"/>
  <c r="E21" i="4"/>
  <c r="E38" i="4"/>
  <c r="E55" i="4"/>
  <c r="F72" i="4"/>
  <c r="G83" i="4"/>
  <c r="E92" i="4"/>
  <c r="G98" i="4"/>
  <c r="D105" i="4"/>
  <c r="F111" i="4"/>
  <c r="C118" i="4"/>
  <c r="F13" i="4"/>
  <c r="G47" i="4"/>
  <c r="G79" i="4"/>
  <c r="G95" i="4"/>
  <c r="F108" i="4"/>
  <c r="E121" i="4"/>
  <c r="E130" i="4"/>
  <c r="C139" i="4"/>
  <c r="F147" i="4"/>
  <c r="C154" i="4"/>
  <c r="E160" i="4"/>
  <c r="C166" i="4"/>
  <c r="C170" i="4"/>
  <c r="C174" i="4"/>
  <c r="G178" i="4"/>
  <c r="G182" i="4"/>
  <c r="G186" i="4"/>
  <c r="F191" i="4"/>
  <c r="F195" i="4"/>
  <c r="F199" i="4"/>
  <c r="G202" i="4"/>
  <c r="C206" i="4"/>
  <c r="D209" i="4"/>
  <c r="E212" i="4"/>
  <c r="F215" i="4"/>
  <c r="G218" i="4"/>
  <c r="C222" i="4"/>
  <c r="D225" i="4"/>
  <c r="E228" i="4"/>
  <c r="F9" i="4"/>
  <c r="F26" i="4"/>
  <c r="G43" i="4"/>
  <c r="G60" i="4"/>
  <c r="E77" i="4"/>
  <c r="F86" i="4"/>
  <c r="E94" i="4"/>
  <c r="G100" i="4"/>
  <c r="D107" i="4"/>
  <c r="F113" i="4"/>
  <c r="C120" i="4"/>
  <c r="E125" i="4"/>
  <c r="F129" i="4"/>
  <c r="C134" i="4"/>
  <c r="D138" i="4"/>
  <c r="E142" i="4"/>
  <c r="G146" i="4"/>
  <c r="D150" i="4"/>
  <c r="E153" i="4"/>
  <c r="F156" i="4"/>
  <c r="G159" i="4"/>
  <c r="C163" i="4"/>
  <c r="D166" i="4"/>
  <c r="E169" i="4"/>
  <c r="F172" i="4"/>
  <c r="G175" i="4"/>
  <c r="C179" i="4"/>
  <c r="D182" i="4"/>
  <c r="E185" i="4"/>
  <c r="F188" i="4"/>
  <c r="G191" i="4"/>
  <c r="C195" i="4"/>
  <c r="D198" i="4"/>
  <c r="E11" i="4"/>
  <c r="D25" i="4"/>
  <c r="G50" i="4"/>
  <c r="G8" i="4"/>
  <c r="C43" i="4"/>
  <c r="G76" i="4"/>
  <c r="G20" i="4"/>
  <c r="C55" i="4"/>
  <c r="E25" i="4"/>
  <c r="G85" i="4"/>
  <c r="D100" i="4"/>
  <c r="D108" i="4"/>
  <c r="C117" i="4"/>
  <c r="G125" i="4"/>
  <c r="G133" i="4"/>
  <c r="C141" i="4"/>
  <c r="E147" i="4"/>
  <c r="E23" i="4"/>
  <c r="F40" i="4"/>
  <c r="F57" i="4"/>
  <c r="F74" i="4"/>
  <c r="C85" i="4"/>
  <c r="D93" i="4"/>
  <c r="F99" i="4"/>
  <c r="C106" i="4"/>
  <c r="E112" i="4"/>
  <c r="G118" i="4"/>
  <c r="G17" i="4"/>
  <c r="C52" i="4"/>
  <c r="C82" i="4"/>
  <c r="E97" i="4"/>
  <c r="D110" i="4"/>
  <c r="C123" i="4"/>
  <c r="F131" i="4"/>
  <c r="C140" i="4"/>
  <c r="E148" i="4"/>
  <c r="G154" i="4"/>
  <c r="D161" i="4"/>
  <c r="G166" i="4"/>
  <c r="G170" i="4"/>
  <c r="F175" i="4"/>
  <c r="F179" i="4"/>
  <c r="F183" i="4"/>
  <c r="E188" i="4"/>
  <c r="E192" i="4"/>
  <c r="E196" i="4"/>
  <c r="E200" i="4"/>
  <c r="F203" i="4"/>
  <c r="G206" i="4"/>
  <c r="C210" i="4"/>
  <c r="D213" i="4"/>
  <c r="E216" i="4"/>
  <c r="F219" i="4"/>
  <c r="G222" i="4"/>
  <c r="C226" i="4"/>
  <c r="D229" i="4"/>
  <c r="G13" i="4"/>
  <c r="C31" i="4"/>
  <c r="C48" i="4"/>
  <c r="C65" i="4"/>
  <c r="D80" i="4"/>
  <c r="F88" i="4"/>
  <c r="C96" i="4"/>
  <c r="E102" i="4"/>
  <c r="G108" i="4"/>
  <c r="D115" i="4"/>
  <c r="F121" i="4"/>
  <c r="E126" i="4"/>
  <c r="G130" i="4"/>
  <c r="C135" i="4"/>
  <c r="D139" i="4"/>
  <c r="F143" i="4"/>
  <c r="G147" i="4"/>
  <c r="C151" i="4"/>
  <c r="D154" i="4"/>
  <c r="E157" i="4"/>
  <c r="F160" i="4"/>
  <c r="G163" i="4"/>
  <c r="C167" i="4"/>
  <c r="D170" i="4"/>
  <c r="E173" i="4"/>
  <c r="F176" i="4"/>
  <c r="G179" i="4"/>
  <c r="C183" i="4"/>
  <c r="D186" i="4"/>
  <c r="E189" i="4"/>
  <c r="E12" i="4"/>
  <c r="F63" i="4"/>
  <c r="C60" i="4"/>
  <c r="G37" i="4"/>
  <c r="E59" i="4"/>
  <c r="D104" i="4"/>
  <c r="C121" i="4"/>
  <c r="G137" i="4"/>
  <c r="C15" i="4"/>
  <c r="C49" i="4"/>
  <c r="F80" i="4"/>
  <c r="E96" i="4"/>
  <c r="D109" i="4"/>
  <c r="C122" i="4"/>
  <c r="C69" i="4"/>
  <c r="G103" i="4"/>
  <c r="D127" i="4"/>
  <c r="E144" i="4"/>
  <c r="C158" i="4"/>
  <c r="D169" i="4"/>
  <c r="D177" i="4"/>
  <c r="C186" i="4"/>
  <c r="G194" i="4"/>
  <c r="C202" i="4"/>
  <c r="E208" i="4"/>
  <c r="G214" i="4"/>
  <c r="D221" i="4"/>
  <c r="F227" i="4"/>
  <c r="E22" i="4"/>
  <c r="F56" i="4"/>
  <c r="E84" i="4"/>
  <c r="D99" i="4"/>
  <c r="C112" i="4"/>
  <c r="E124" i="4"/>
  <c r="G132" i="4"/>
  <c r="E141" i="4"/>
  <c r="E149" i="4"/>
  <c r="G155" i="4"/>
  <c r="D162" i="4"/>
  <c r="F168" i="4"/>
  <c r="C175" i="4"/>
  <c r="E181" i="4"/>
  <c r="G187" i="4"/>
  <c r="E193" i="4"/>
  <c r="E197" i="4"/>
  <c r="C20" i="4"/>
  <c r="D54" i="4"/>
  <c r="C83" i="4"/>
  <c r="D98" i="4"/>
  <c r="C111" i="4"/>
  <c r="F123" i="4"/>
  <c r="C132" i="4"/>
  <c r="F140" i="4"/>
  <c r="G148" i="4"/>
  <c r="D155" i="4"/>
  <c r="F161" i="4"/>
  <c r="C168" i="4"/>
  <c r="E174" i="4"/>
  <c r="G180" i="4"/>
  <c r="D187" i="4"/>
  <c r="F193" i="4"/>
  <c r="C200" i="4"/>
  <c r="F204" i="4"/>
  <c r="G208" i="4"/>
  <c r="C213" i="4"/>
  <c r="E217" i="4"/>
  <c r="F221" i="4"/>
  <c r="G225" i="4"/>
  <c r="D230" i="4"/>
  <c r="F233" i="4"/>
  <c r="G236" i="4"/>
  <c r="C240" i="4"/>
  <c r="D243" i="4"/>
  <c r="E246" i="4"/>
  <c r="F249" i="4"/>
  <c r="G252" i="4"/>
  <c r="C256" i="4"/>
  <c r="D259" i="4"/>
  <c r="E262" i="4"/>
  <c r="F265" i="4"/>
  <c r="G268" i="4"/>
  <c r="C272" i="4"/>
  <c r="D275" i="4"/>
  <c r="E278" i="4"/>
  <c r="F281" i="4"/>
  <c r="G34" i="4"/>
  <c r="F21" i="4"/>
  <c r="E86" i="4"/>
  <c r="G67" i="4"/>
  <c r="G93" i="4"/>
  <c r="E111" i="4"/>
  <c r="C129" i="4"/>
  <c r="E143" i="4"/>
  <c r="G29" i="4"/>
  <c r="C64" i="4"/>
  <c r="D88" i="4"/>
  <c r="C102" i="4"/>
  <c r="G114" i="4"/>
  <c r="F30" i="4"/>
  <c r="E88" i="4"/>
  <c r="C115" i="4"/>
  <c r="G134" i="4"/>
  <c r="G150" i="4"/>
  <c r="F163" i="4"/>
  <c r="E172" i="4"/>
  <c r="E180" i="4"/>
  <c r="D189" i="4"/>
  <c r="C198" i="4"/>
  <c r="E204" i="4"/>
  <c r="G210" i="4"/>
  <c r="D217" i="4"/>
  <c r="F223" i="4"/>
  <c r="C230" i="4"/>
  <c r="D35" i="4"/>
  <c r="E69" i="4"/>
  <c r="G90" i="4"/>
  <c r="C104" i="4"/>
  <c r="G116" i="4"/>
  <c r="F127" i="4"/>
  <c r="C136" i="4"/>
  <c r="F144" i="4"/>
  <c r="G151" i="4"/>
  <c r="D158" i="4"/>
  <c r="F164" i="4"/>
  <c r="C171" i="4"/>
  <c r="E177" i="4"/>
  <c r="G183" i="4"/>
  <c r="D190" i="4"/>
  <c r="D194" i="4"/>
  <c r="C199" i="4"/>
  <c r="F28" i="4"/>
  <c r="F62" i="4"/>
  <c r="E87" i="4"/>
  <c r="E101" i="4"/>
  <c r="D114" i="4"/>
  <c r="F125" i="4"/>
  <c r="D134" i="4"/>
  <c r="G142" i="4"/>
  <c r="E150" i="4"/>
  <c r="G156" i="4"/>
  <c r="D163" i="4"/>
  <c r="F169" i="4"/>
  <c r="C176" i="4"/>
  <c r="E182" i="4"/>
  <c r="G188" i="4"/>
  <c r="D195" i="4"/>
  <c r="E201" i="4"/>
  <c r="F205" i="4"/>
  <c r="G209" i="4"/>
  <c r="D214" i="4"/>
  <c r="E218" i="4"/>
  <c r="F222" i="4"/>
  <c r="C227" i="4"/>
  <c r="D231" i="4"/>
  <c r="E234" i="4"/>
  <c r="F237" i="4"/>
  <c r="G240" i="4"/>
  <c r="C244" i="4"/>
  <c r="D247" i="4"/>
  <c r="E250" i="4"/>
  <c r="F253" i="4"/>
  <c r="G256" i="4"/>
  <c r="C260" i="4"/>
  <c r="D9" i="4"/>
  <c r="G55" i="4"/>
  <c r="C51" i="4"/>
  <c r="D120" i="4"/>
  <c r="G12" i="4"/>
  <c r="F79" i="4"/>
  <c r="E108" i="4"/>
  <c r="G64" i="4"/>
  <c r="D126" i="4"/>
  <c r="D157" i="4"/>
  <c r="E176" i="4"/>
  <c r="D193" i="4"/>
  <c r="F207" i="4"/>
  <c r="E220" i="4"/>
  <c r="D18" i="4"/>
  <c r="D82" i="4"/>
  <c r="E110" i="4"/>
  <c r="G131" i="4"/>
  <c r="F148" i="4"/>
  <c r="E161" i="4"/>
  <c r="D174" i="4"/>
  <c r="C187" i="4"/>
  <c r="F196" i="4"/>
  <c r="F45" i="4"/>
  <c r="C95" i="4"/>
  <c r="F120" i="4"/>
  <c r="E138" i="4"/>
  <c r="F153" i="4"/>
  <c r="E166" i="4"/>
  <c r="D179" i="4"/>
  <c r="C192" i="4"/>
  <c r="E203" i="4"/>
  <c r="C212" i="4"/>
  <c r="F220" i="4"/>
  <c r="C229" i="4"/>
  <c r="C236" i="4"/>
  <c r="E242" i="4"/>
  <c r="G248" i="4"/>
  <c r="D255" i="4"/>
  <c r="F261" i="4"/>
  <c r="E266" i="4"/>
  <c r="E270" i="4"/>
  <c r="E274" i="4"/>
  <c r="D279" i="4"/>
  <c r="D283" i="4"/>
  <c r="E286" i="4"/>
  <c r="F289" i="4"/>
  <c r="G292" i="4"/>
  <c r="C296" i="4"/>
  <c r="D299" i="4"/>
  <c r="E302" i="4"/>
  <c r="G11" i="4"/>
  <c r="G45" i="4"/>
  <c r="C79" i="4"/>
  <c r="D95" i="4"/>
  <c r="C108" i="4"/>
  <c r="G120" i="4"/>
  <c r="D130" i="4"/>
  <c r="G138" i="4"/>
  <c r="D147" i="4"/>
  <c r="G153" i="4"/>
  <c r="D160" i="4"/>
  <c r="F166" i="4"/>
  <c r="C173" i="4"/>
  <c r="E179" i="4"/>
  <c r="G185" i="4"/>
  <c r="D192" i="4"/>
  <c r="F198" i="4"/>
  <c r="G203" i="4"/>
  <c r="C208" i="4"/>
  <c r="D212" i="4"/>
  <c r="F216" i="4"/>
  <c r="G220" i="4"/>
  <c r="C225" i="4"/>
  <c r="E229" i="4"/>
  <c r="C233" i="4"/>
  <c r="D236" i="4"/>
  <c r="E239" i="4"/>
  <c r="F242" i="4"/>
  <c r="G245" i="4"/>
  <c r="C249" i="4"/>
  <c r="D252" i="4"/>
  <c r="E255" i="4"/>
  <c r="F258" i="4"/>
  <c r="G261" i="4"/>
  <c r="C265" i="4"/>
  <c r="D268" i="4"/>
  <c r="E271" i="4"/>
  <c r="F274" i="4"/>
  <c r="G277" i="4"/>
  <c r="C281" i="4"/>
  <c r="D284" i="4"/>
  <c r="E287" i="4"/>
  <c r="F290" i="4"/>
  <c r="E58" i="4"/>
  <c r="G99" i="4"/>
  <c r="F124" i="4"/>
  <c r="F141" i="4"/>
  <c r="C156" i="4"/>
  <c r="G168" i="4"/>
  <c r="F181" i="4"/>
  <c r="E194" i="4"/>
  <c r="C205" i="4"/>
  <c r="F213" i="4"/>
  <c r="D222" i="4"/>
  <c r="F230" i="4"/>
  <c r="D237" i="4"/>
  <c r="F243" i="4"/>
  <c r="C250" i="4"/>
  <c r="E256" i="4"/>
  <c r="G262" i="4"/>
  <c r="D269" i="4"/>
  <c r="F275" i="4"/>
  <c r="C282" i="4"/>
  <c r="E288" i="4"/>
  <c r="C33" i="4"/>
  <c r="C100" i="4"/>
  <c r="C131" i="4"/>
  <c r="E151" i="4"/>
  <c r="C169" i="4"/>
  <c r="E186" i="4"/>
  <c r="D202" i="4"/>
  <c r="G213" i="4"/>
  <c r="E225" i="4"/>
  <c r="C235" i="4"/>
  <c r="G243" i="4"/>
  <c r="E252" i="4"/>
  <c r="F260" i="4"/>
  <c r="E269" i="4"/>
  <c r="C278" i="4"/>
  <c r="D286" i="4"/>
  <c r="E293" i="4"/>
  <c r="G297" i="4"/>
  <c r="C302" i="4"/>
  <c r="C306" i="4"/>
  <c r="D309" i="4"/>
  <c r="E312" i="4"/>
  <c r="F315" i="4"/>
  <c r="G318" i="4"/>
  <c r="C322" i="4"/>
  <c r="D325" i="4"/>
  <c r="E328" i="4"/>
  <c r="F331" i="4"/>
  <c r="G334" i="4"/>
  <c r="C338" i="4"/>
  <c r="D341" i="4"/>
  <c r="E344" i="4"/>
  <c r="F347" i="4"/>
  <c r="G350" i="4"/>
  <c r="C354" i="4"/>
  <c r="D357" i="4"/>
  <c r="E360" i="4"/>
  <c r="F363" i="4"/>
  <c r="G366" i="4"/>
  <c r="E337" i="4"/>
  <c r="D342" i="4"/>
  <c r="G347" i="4"/>
  <c r="E353" i="4"/>
  <c r="C359" i="4"/>
  <c r="F364" i="4"/>
  <c r="F276" i="4"/>
  <c r="E289" i="4"/>
  <c r="E299" i="4"/>
  <c r="D307" i="4"/>
  <c r="F313" i="4"/>
  <c r="C320" i="4"/>
  <c r="E326" i="4"/>
  <c r="G332" i="4"/>
  <c r="D339" i="4"/>
  <c r="F345" i="4"/>
  <c r="C38" i="4"/>
  <c r="F89" i="4"/>
  <c r="E95" i="4"/>
  <c r="G129" i="4"/>
  <c r="C32" i="4"/>
  <c r="D89" i="4"/>
  <c r="F115" i="4"/>
  <c r="F90" i="4"/>
  <c r="G135" i="4"/>
  <c r="E164" i="4"/>
  <c r="C182" i="4"/>
  <c r="G198" i="4"/>
  <c r="F211" i="4"/>
  <c r="E224" i="4"/>
  <c r="E39" i="4"/>
  <c r="G92" i="4"/>
  <c r="E118" i="4"/>
  <c r="D137" i="4"/>
  <c r="F152" i="4"/>
  <c r="E165" i="4"/>
  <c r="D178" i="4"/>
  <c r="C191" i="4"/>
  <c r="G199" i="4"/>
  <c r="D71" i="4"/>
  <c r="F104" i="4"/>
  <c r="G127" i="4"/>
  <c r="G144" i="4"/>
  <c r="E158" i="4"/>
  <c r="D171" i="4"/>
  <c r="C184" i="4"/>
  <c r="G196" i="4"/>
  <c r="F206" i="4"/>
  <c r="D215" i="4"/>
  <c r="G223" i="4"/>
  <c r="C232" i="4"/>
  <c r="E238" i="4"/>
  <c r="G244" i="4"/>
  <c r="D251" i="4"/>
  <c r="F257" i="4"/>
  <c r="D263" i="4"/>
  <c r="D267" i="4"/>
  <c r="D271" i="4"/>
  <c r="C276" i="4"/>
  <c r="C280" i="4"/>
  <c r="C284" i="4"/>
  <c r="D287" i="4"/>
  <c r="E290" i="4"/>
  <c r="F293" i="4"/>
  <c r="G296" i="4"/>
  <c r="C300" i="4"/>
  <c r="D303" i="4"/>
  <c r="D20" i="4"/>
  <c r="E54" i="4"/>
  <c r="E83" i="4"/>
  <c r="E98" i="4"/>
  <c r="D111" i="4"/>
  <c r="G123" i="4"/>
  <c r="E132" i="4"/>
  <c r="G140" i="4"/>
  <c r="C149" i="4"/>
  <c r="E155" i="4"/>
  <c r="G161" i="4"/>
  <c r="D168" i="4"/>
  <c r="F174" i="4"/>
  <c r="C181" i="4"/>
  <c r="E187" i="4"/>
  <c r="G193" i="4"/>
  <c r="D200" i="4"/>
  <c r="G204" i="4"/>
  <c r="C209" i="4"/>
  <c r="E213" i="4"/>
  <c r="F217" i="4"/>
  <c r="G221" i="4"/>
  <c r="D226" i="4"/>
  <c r="E230" i="4"/>
  <c r="G233" i="4"/>
  <c r="C237" i="4"/>
  <c r="D240" i="4"/>
  <c r="E243" i="4"/>
  <c r="F246" i="4"/>
  <c r="G249" i="4"/>
  <c r="C253" i="4"/>
  <c r="D256" i="4"/>
  <c r="E259" i="4"/>
  <c r="F262" i="4"/>
  <c r="G265" i="4"/>
  <c r="C269" i="4"/>
  <c r="D272" i="4"/>
  <c r="E275" i="4"/>
  <c r="F278" i="4"/>
  <c r="G281" i="4"/>
  <c r="C285" i="4"/>
  <c r="D288" i="4"/>
  <c r="E291" i="4"/>
  <c r="E75" i="4"/>
  <c r="D106" i="4"/>
  <c r="G128" i="4"/>
  <c r="C146" i="4"/>
  <c r="D159" i="4"/>
  <c r="C172" i="4"/>
  <c r="G184" i="4"/>
  <c r="F197" i="4"/>
  <c r="D207" i="4"/>
  <c r="G215" i="4"/>
  <c r="D224" i="4"/>
  <c r="E232" i="4"/>
  <c r="G238" i="4"/>
  <c r="D245" i="4"/>
  <c r="F251" i="4"/>
  <c r="C258" i="4"/>
  <c r="E264" i="4"/>
  <c r="G270" i="4"/>
  <c r="D277" i="4"/>
  <c r="F283" i="4"/>
  <c r="C290" i="4"/>
  <c r="F58" i="4"/>
  <c r="E109" i="4"/>
  <c r="F135" i="4"/>
  <c r="D156" i="4"/>
  <c r="F173" i="4"/>
  <c r="G189" i="4"/>
  <c r="E205" i="4"/>
  <c r="G216" i="4"/>
  <c r="G227" i="4"/>
  <c r="E237" i="4"/>
  <c r="C246" i="4"/>
  <c r="D254" i="4"/>
  <c r="C263" i="4"/>
  <c r="F271" i="4"/>
  <c r="G279" i="4"/>
  <c r="F288" i="4"/>
  <c r="F294" i="4"/>
  <c r="G298" i="4"/>
  <c r="C303" i="4"/>
  <c r="G306" i="4"/>
  <c r="C310" i="4"/>
  <c r="D313" i="4"/>
  <c r="E316" i="4"/>
  <c r="F319" i="4"/>
  <c r="G322" i="4"/>
  <c r="C326" i="4"/>
  <c r="D329" i="4"/>
  <c r="E332" i="4"/>
  <c r="F335" i="4"/>
  <c r="G338" i="4"/>
  <c r="C342" i="4"/>
  <c r="D345" i="4"/>
  <c r="E348" i="4"/>
  <c r="F351" i="4"/>
  <c r="G354" i="4"/>
  <c r="C358" i="4"/>
  <c r="D361" i="4"/>
  <c r="E364" i="4"/>
  <c r="F367" i="4"/>
  <c r="C339" i="4"/>
  <c r="E60" i="4"/>
  <c r="F33" i="4"/>
  <c r="G25" i="4"/>
  <c r="C137" i="4"/>
  <c r="F95" i="4"/>
  <c r="D102" i="4"/>
  <c r="F167" i="4"/>
  <c r="D201" i="4"/>
  <c r="G226" i="4"/>
  <c r="F97" i="4"/>
  <c r="E140" i="4"/>
  <c r="G167" i="4"/>
  <c r="F192" i="4"/>
  <c r="G78" i="4"/>
  <c r="C130" i="4"/>
  <c r="C160" i="4"/>
  <c r="F185" i="4"/>
  <c r="G207" i="4"/>
  <c r="G224" i="4"/>
  <c r="D239" i="4"/>
  <c r="C252" i="4"/>
  <c r="C264" i="4"/>
  <c r="G272" i="4"/>
  <c r="G280" i="4"/>
  <c r="C288" i="4"/>
  <c r="E294" i="4"/>
  <c r="G300" i="4"/>
  <c r="G28" i="4"/>
  <c r="F87" i="4"/>
  <c r="E114" i="4"/>
  <c r="E134" i="4"/>
  <c r="F150" i="4"/>
  <c r="E163" i="4"/>
  <c r="D176" i="4"/>
  <c r="C189" i="4"/>
  <c r="F201" i="4"/>
  <c r="D210" i="4"/>
  <c r="F218" i="4"/>
  <c r="D227" i="4"/>
  <c r="F234" i="4"/>
  <c r="C241" i="4"/>
  <c r="E247" i="4"/>
  <c r="G253" i="4"/>
  <c r="D260" i="4"/>
  <c r="F266" i="4"/>
  <c r="C273" i="4"/>
  <c r="E279" i="4"/>
  <c r="G285" i="4"/>
  <c r="D24" i="4"/>
  <c r="F112" i="4"/>
  <c r="F149" i="4"/>
  <c r="D175" i="4"/>
  <c r="G200" i="4"/>
  <c r="G217" i="4"/>
  <c r="C234" i="4"/>
  <c r="G246" i="4"/>
  <c r="F259" i="4"/>
  <c r="E272" i="4"/>
  <c r="D285" i="4"/>
  <c r="C81" i="4"/>
  <c r="C142" i="4"/>
  <c r="C177" i="4"/>
  <c r="D208" i="4"/>
  <c r="C231" i="4"/>
  <c r="G247" i="4"/>
  <c r="D265" i="4"/>
  <c r="D282" i="4"/>
  <c r="F295" i="4"/>
  <c r="D304" i="4"/>
  <c r="G310" i="4"/>
  <c r="D317" i="4"/>
  <c r="F323" i="4"/>
  <c r="C330" i="4"/>
  <c r="E336" i="4"/>
  <c r="G342" i="4"/>
  <c r="D349" i="4"/>
  <c r="F355" i="4"/>
  <c r="C362" i="4"/>
  <c r="F332" i="4"/>
  <c r="G343" i="4"/>
  <c r="C351" i="4"/>
  <c r="E357" i="4"/>
  <c r="E365" i="4"/>
  <c r="D281" i="4"/>
  <c r="D297" i="4"/>
  <c r="G308" i="4"/>
  <c r="G316" i="4"/>
  <c r="G324" i="4"/>
  <c r="E334" i="4"/>
  <c r="E342" i="4"/>
  <c r="E350" i="4"/>
  <c r="G356" i="4"/>
  <c r="D363" i="4"/>
  <c r="E89" i="4"/>
  <c r="D146" i="4"/>
  <c r="D180" i="4"/>
  <c r="E210" i="4"/>
  <c r="F232" i="4"/>
  <c r="E249" i="4"/>
  <c r="G266" i="4"/>
  <c r="G283" i="4"/>
  <c r="E296" i="4"/>
  <c r="C305" i="4"/>
  <c r="E311" i="4"/>
  <c r="G317" i="4"/>
  <c r="D324" i="4"/>
  <c r="F330" i="4"/>
  <c r="C337" i="4"/>
  <c r="E343" i="4"/>
  <c r="G349" i="4"/>
  <c r="D356" i="4"/>
  <c r="F362" i="4"/>
  <c r="C16" i="4"/>
  <c r="F93" i="4"/>
  <c r="G126" i="4"/>
  <c r="D148" i="4"/>
  <c r="G165" i="4"/>
  <c r="D183" i="4"/>
  <c r="E199" i="4"/>
  <c r="G211" i="4"/>
  <c r="D223" i="4"/>
  <c r="E233" i="4"/>
  <c r="D242" i="4"/>
  <c r="G250" i="4"/>
  <c r="C259" i="4"/>
  <c r="G267" i="4"/>
  <c r="E276" i="4"/>
  <c r="F284" i="4"/>
  <c r="F292" i="4"/>
  <c r="C297" i="4"/>
  <c r="D301" i="4"/>
  <c r="E305" i="4"/>
  <c r="F308" i="4"/>
  <c r="G311" i="4"/>
  <c r="C315" i="4"/>
  <c r="D318" i="4"/>
  <c r="E321" i="4"/>
  <c r="F324" i="4"/>
  <c r="G327" i="4"/>
  <c r="C331" i="4"/>
  <c r="C335" i="4"/>
  <c r="C343" i="4"/>
  <c r="D350" i="4"/>
  <c r="D358" i="4"/>
  <c r="D366" i="4"/>
  <c r="F287" i="4"/>
  <c r="D298" i="4"/>
  <c r="E306" i="4"/>
  <c r="G312" i="4"/>
  <c r="D319" i="4"/>
  <c r="F325" i="4"/>
  <c r="C332" i="4"/>
  <c r="E338" i="4"/>
  <c r="G344" i="4"/>
  <c r="D351" i="4"/>
  <c r="F357" i="4"/>
  <c r="C364" i="4"/>
  <c r="G75" i="4"/>
  <c r="G139" i="4"/>
  <c r="G176" i="4"/>
  <c r="E207" i="4"/>
  <c r="G229" i="4"/>
  <c r="F247" i="4"/>
  <c r="F264" i="4"/>
  <c r="E281" i="4"/>
  <c r="E295" i="4"/>
  <c r="G303" i="4"/>
  <c r="F310" i="4"/>
  <c r="C317" i="4"/>
  <c r="E323" i="4"/>
  <c r="G329" i="4"/>
  <c r="D336" i="4"/>
  <c r="F342" i="4"/>
  <c r="C72" i="4"/>
  <c r="D144" i="4"/>
  <c r="G102" i="4"/>
  <c r="F116" i="4"/>
  <c r="D173" i="4"/>
  <c r="D205" i="4"/>
  <c r="G230" i="4"/>
  <c r="F105" i="4"/>
  <c r="F145" i="4"/>
  <c r="G171" i="4"/>
  <c r="G195" i="4"/>
  <c r="F91" i="4"/>
  <c r="E136" i="4"/>
  <c r="G164" i="4"/>
  <c r="E190" i="4"/>
  <c r="C211" i="4"/>
  <c r="C228" i="4"/>
  <c r="F241" i="4"/>
  <c r="E254" i="4"/>
  <c r="G264" i="4"/>
  <c r="F273" i="4"/>
  <c r="E282" i="4"/>
  <c r="G288" i="4"/>
  <c r="D295" i="4"/>
  <c r="F301" i="4"/>
  <c r="E37" i="4"/>
  <c r="G91" i="4"/>
  <c r="F117" i="4"/>
  <c r="F136" i="4"/>
  <c r="D152" i="4"/>
  <c r="C165" i="4"/>
  <c r="G177" i="4"/>
  <c r="F190" i="4"/>
  <c r="F202" i="4"/>
  <c r="D211" i="4"/>
  <c r="G219" i="4"/>
  <c r="D228" i="4"/>
  <c r="E235" i="4"/>
  <c r="G241" i="4"/>
  <c r="D248" i="4"/>
  <c r="F254" i="4"/>
  <c r="C261" i="4"/>
  <c r="E267" i="4"/>
  <c r="G273" i="4"/>
  <c r="D280" i="4"/>
  <c r="F286" i="4"/>
  <c r="E41" i="4"/>
  <c r="C119" i="4"/>
  <c r="G152" i="4"/>
  <c r="E178" i="4"/>
  <c r="C203" i="4"/>
  <c r="C220" i="4"/>
  <c r="F235" i="4"/>
  <c r="E248" i="4"/>
  <c r="D261" i="4"/>
  <c r="C274" i="4"/>
  <c r="G286" i="4"/>
  <c r="G89" i="4"/>
  <c r="C148" i="4"/>
  <c r="G181" i="4"/>
  <c r="F210" i="4"/>
  <c r="D233" i="4"/>
  <c r="D250" i="4"/>
  <c r="C267" i="4"/>
  <c r="E284" i="4"/>
  <c r="F296" i="4"/>
  <c r="D305" i="4"/>
  <c r="F311" i="4"/>
  <c r="C318" i="4"/>
  <c r="E324" i="4"/>
  <c r="G330" i="4"/>
  <c r="D337" i="4"/>
  <c r="F343" i="4"/>
  <c r="C350" i="4"/>
  <c r="E356" i="4"/>
  <c r="G362" i="4"/>
  <c r="G335" i="4"/>
  <c r="E345" i="4"/>
  <c r="G351" i="4"/>
  <c r="F360" i="4"/>
  <c r="C367" i="4"/>
  <c r="E285" i="4"/>
  <c r="E301" i="4"/>
  <c r="E310" i="4"/>
  <c r="E318" i="4"/>
  <c r="C328" i="4"/>
  <c r="C336" i="4"/>
  <c r="C344" i="4"/>
  <c r="C352" i="4"/>
  <c r="E358" i="4"/>
  <c r="G364" i="4"/>
  <c r="E106" i="4"/>
  <c r="F154" i="4"/>
  <c r="F189" i="4"/>
  <c r="C216" i="4"/>
  <c r="F236" i="4"/>
  <c r="C254" i="4"/>
  <c r="C271" i="4"/>
  <c r="G287" i="4"/>
  <c r="F298" i="4"/>
  <c r="F306" i="4"/>
  <c r="C313" i="4"/>
  <c r="E319" i="4"/>
  <c r="G325" i="4"/>
  <c r="D332" i="4"/>
  <c r="F338" i="4"/>
  <c r="C345" i="4"/>
  <c r="E351" i="4"/>
  <c r="G357" i="4"/>
  <c r="D364" i="4"/>
  <c r="F41" i="4"/>
  <c r="C103" i="4"/>
  <c r="D131" i="4"/>
  <c r="C153" i="4"/>
  <c r="E170" i="4"/>
  <c r="F186" i="4"/>
  <c r="D203" i="4"/>
  <c r="F214" i="4"/>
  <c r="F225" i="4"/>
  <c r="G235" i="4"/>
  <c r="E244" i="4"/>
  <c r="F252" i="4"/>
  <c r="E261" i="4"/>
  <c r="C270" i="4"/>
  <c r="D278" i="4"/>
  <c r="C287" i="4"/>
  <c r="G293" i="4"/>
  <c r="C298" i="4"/>
  <c r="D302" i="4"/>
  <c r="D306" i="4"/>
  <c r="E309" i="4"/>
  <c r="F312" i="4"/>
  <c r="G315" i="4"/>
  <c r="C319" i="4"/>
  <c r="D322" i="4"/>
  <c r="E325" i="4"/>
  <c r="F328" i="4"/>
  <c r="G331" i="4"/>
  <c r="F336" i="4"/>
  <c r="F344" i="4"/>
  <c r="F352" i="4"/>
  <c r="G359" i="4"/>
  <c r="E103" i="4"/>
  <c r="C47" i="4"/>
  <c r="D121" i="4"/>
  <c r="D143" i="4"/>
  <c r="D185" i="4"/>
  <c r="C214" i="4"/>
  <c r="D52" i="4"/>
  <c r="D123" i="4"/>
  <c r="C155" i="4"/>
  <c r="F180" i="4"/>
  <c r="F200" i="4"/>
  <c r="G107" i="4"/>
  <c r="C147" i="4"/>
  <c r="G172" i="4"/>
  <c r="E198" i="4"/>
  <c r="D216" i="4"/>
  <c r="G232" i="4"/>
  <c r="F245" i="4"/>
  <c r="E258" i="4"/>
  <c r="C268" i="4"/>
  <c r="G276" i="4"/>
  <c r="G284" i="4"/>
  <c r="D291" i="4"/>
  <c r="F297" i="4"/>
  <c r="C304" i="4"/>
  <c r="C63" i="4"/>
  <c r="F101" i="4"/>
  <c r="C126" i="4"/>
  <c r="C143" i="4"/>
  <c r="C157" i="4"/>
  <c r="G169" i="4"/>
  <c r="F182" i="4"/>
  <c r="E195" i="4"/>
  <c r="G205" i="4"/>
  <c r="E214" i="4"/>
  <c r="C223" i="4"/>
  <c r="E231" i="4"/>
  <c r="G237" i="4"/>
  <c r="D244" i="4"/>
  <c r="F250" i="4"/>
  <c r="C257" i="4"/>
  <c r="E263" i="4"/>
  <c r="G269" i="4"/>
  <c r="D276" i="4"/>
  <c r="F282" i="4"/>
  <c r="C289" i="4"/>
  <c r="D85" i="4"/>
  <c r="D133" i="4"/>
  <c r="E162" i="4"/>
  <c r="C188" i="4"/>
  <c r="E209" i="4"/>
  <c r="E226" i="4"/>
  <c r="E240" i="4"/>
  <c r="D253" i="4"/>
  <c r="C266" i="4"/>
  <c r="G278" i="4"/>
  <c r="F291" i="4"/>
  <c r="C116" i="4"/>
  <c r="G160" i="4"/>
  <c r="F194" i="4"/>
  <c r="D219" i="4"/>
  <c r="F239" i="4"/>
  <c r="F256" i="4"/>
  <c r="E273" i="4"/>
  <c r="G290" i="4"/>
  <c r="G299" i="4"/>
  <c r="F307" i="4"/>
  <c r="C314" i="4"/>
  <c r="E320" i="4"/>
  <c r="G326" i="4"/>
  <c r="D333" i="4"/>
  <c r="F339" i="4"/>
  <c r="C346" i="4"/>
  <c r="E352" i="4"/>
  <c r="G358" i="4"/>
  <c r="D365" i="4"/>
  <c r="G339" i="4"/>
  <c r="D346" i="4"/>
  <c r="C355" i="4"/>
  <c r="D362" i="4"/>
  <c r="F272" i="4"/>
  <c r="C293" i="4"/>
  <c r="F303" i="4"/>
  <c r="C312" i="4"/>
  <c r="F321" i="4"/>
  <c r="F329" i="4"/>
  <c r="F337" i="4"/>
  <c r="D347" i="4"/>
  <c r="F353" i="4"/>
  <c r="C360" i="4"/>
  <c r="E366" i="4"/>
  <c r="E122" i="4"/>
  <c r="C164" i="4"/>
  <c r="G197" i="4"/>
  <c r="E221" i="4"/>
  <c r="D241" i="4"/>
  <c r="D258" i="4"/>
  <c r="C275" i="4"/>
  <c r="D292" i="4"/>
  <c r="F300" i="4"/>
  <c r="D308" i="4"/>
  <c r="F314" i="4"/>
  <c r="C321" i="4"/>
  <c r="E327" i="4"/>
  <c r="G333" i="4"/>
  <c r="D340" i="4"/>
  <c r="F346" i="4"/>
  <c r="C353" i="4"/>
  <c r="E359" i="4"/>
  <c r="G365" i="4"/>
  <c r="C67" i="4"/>
  <c r="F109" i="4"/>
  <c r="F137" i="4"/>
  <c r="F157" i="4"/>
  <c r="G173" i="4"/>
  <c r="E191" i="4"/>
  <c r="D206" i="4"/>
  <c r="C217" i="4"/>
  <c r="G228" i="4"/>
  <c r="C238" i="4"/>
  <c r="D246" i="4"/>
  <c r="C255" i="4"/>
  <c r="F263" i="4"/>
  <c r="G271" i="4"/>
  <c r="F280" i="4"/>
  <c r="D289" i="4"/>
  <c r="G294" i="4"/>
  <c r="C299" i="4"/>
  <c r="E303" i="4"/>
  <c r="C307" i="4"/>
  <c r="D310" i="4"/>
  <c r="E313" i="4"/>
  <c r="F316" i="4"/>
  <c r="G319" i="4"/>
  <c r="C323" i="4"/>
  <c r="D326" i="4"/>
  <c r="E329" i="4"/>
  <c r="E333" i="4"/>
  <c r="D338" i="4"/>
  <c r="C347" i="4"/>
  <c r="D354" i="4"/>
  <c r="E361" i="4"/>
  <c r="G274" i="4"/>
  <c r="C294" i="4"/>
  <c r="F302" i="4"/>
  <c r="F309" i="4"/>
  <c r="C316" i="4"/>
  <c r="E322" i="4"/>
  <c r="G328" i="4"/>
  <c r="D335" i="4"/>
  <c r="F341" i="4"/>
  <c r="C348" i="4"/>
  <c r="E354" i="4"/>
  <c r="G360" i="4"/>
  <c r="D367" i="4"/>
  <c r="G115" i="4"/>
  <c r="E159" i="4"/>
  <c r="C193" i="4"/>
  <c r="C219" i="4"/>
  <c r="C239" i="4"/>
  <c r="G255" i="4"/>
  <c r="D273" i="4"/>
  <c r="D290" i="4"/>
  <c r="F299" i="4"/>
  <c r="E307" i="4"/>
  <c r="G313" i="4"/>
  <c r="D320" i="4"/>
  <c r="F326" i="4"/>
  <c r="C333" i="4"/>
  <c r="E339" i="4"/>
  <c r="C113" i="4"/>
  <c r="D66" i="4"/>
  <c r="C35" i="4"/>
  <c r="F151" i="4"/>
  <c r="C190" i="4"/>
  <c r="C218" i="4"/>
  <c r="F73" i="4"/>
  <c r="F128" i="4"/>
  <c r="C159" i="4"/>
  <c r="F184" i="4"/>
  <c r="C37" i="4"/>
  <c r="E117" i="4"/>
  <c r="C152" i="4"/>
  <c r="F177" i="4"/>
  <c r="E202" i="4"/>
  <c r="E219" i="4"/>
  <c r="D235" i="4"/>
  <c r="C248" i="4"/>
  <c r="G260" i="4"/>
  <c r="F269" i="4"/>
  <c r="F277" i="4"/>
  <c r="F285" i="4"/>
  <c r="C292" i="4"/>
  <c r="E298" i="4"/>
  <c r="G304" i="4"/>
  <c r="E71" i="4"/>
  <c r="G104" i="4"/>
  <c r="C128" i="4"/>
  <c r="D145" i="4"/>
  <c r="F158" i="4"/>
  <c r="E171" i="4"/>
  <c r="D184" i="4"/>
  <c r="C197" i="4"/>
  <c r="C207" i="4"/>
  <c r="E215" i="4"/>
  <c r="C224" i="4"/>
  <c r="D232" i="4"/>
  <c r="F238" i="4"/>
  <c r="C245" i="4"/>
  <c r="E251" i="4"/>
  <c r="G257" i="4"/>
  <c r="D264" i="4"/>
  <c r="F270" i="4"/>
  <c r="C277" i="4"/>
  <c r="E283" i="4"/>
  <c r="G289" i="4"/>
  <c r="E93" i="4"/>
  <c r="E137" i="4"/>
  <c r="F165" i="4"/>
  <c r="D191" i="4"/>
  <c r="E211" i="4"/>
  <c r="F228" i="4"/>
  <c r="C242" i="4"/>
  <c r="G254" i="4"/>
  <c r="F267" i="4"/>
  <c r="E280" i="4"/>
  <c r="G15" i="4"/>
  <c r="G124" i="4"/>
  <c r="D164" i="4"/>
  <c r="D199" i="4"/>
  <c r="E222" i="4"/>
  <c r="E241" i="4"/>
  <c r="G258" i="4"/>
  <c r="G275" i="4"/>
  <c r="E292" i="4"/>
  <c r="C301" i="4"/>
  <c r="E308" i="4"/>
  <c r="G314" i="4"/>
  <c r="D321" i="4"/>
  <c r="F327" i="4"/>
  <c r="C334" i="4"/>
  <c r="E340" i="4"/>
  <c r="G346" i="4"/>
  <c r="D353" i="4"/>
  <c r="F359" i="4"/>
  <c r="C366" i="4"/>
  <c r="E341" i="4"/>
  <c r="E349" i="4"/>
  <c r="F356" i="4"/>
  <c r="C363" i="4"/>
  <c r="C279" i="4"/>
  <c r="C295" i="4"/>
  <c r="F305" i="4"/>
  <c r="D315" i="4"/>
  <c r="D323" i="4"/>
  <c r="D331" i="4"/>
  <c r="G340" i="4"/>
  <c r="G348" i="4"/>
  <c r="D355" i="4"/>
  <c r="F361" i="4"/>
  <c r="G32" i="4"/>
  <c r="G5" i="4" s="1"/>
  <c r="M3" i="3" s="1"/>
  <c r="D135" i="4"/>
  <c r="D172" i="4"/>
  <c r="D204" i="4"/>
  <c r="E227" i="4"/>
  <c r="E245" i="4"/>
  <c r="D262" i="4"/>
  <c r="F279" i="4"/>
  <c r="D294" i="4"/>
  <c r="G302" i="4"/>
  <c r="G309" i="4"/>
  <c r="D316" i="4"/>
  <c r="F322" i="4"/>
  <c r="C329" i="4"/>
  <c r="E335" i="4"/>
  <c r="G341" i="4"/>
  <c r="D348" i="4"/>
  <c r="F354" i="4"/>
  <c r="C361" i="4"/>
  <c r="E367" i="4"/>
  <c r="D81" i="4"/>
  <c r="D119" i="4"/>
  <c r="G143" i="4"/>
  <c r="C161" i="4"/>
  <c r="F178" i="4"/>
  <c r="C196" i="4"/>
  <c r="F208" i="4"/>
  <c r="D220" i="4"/>
  <c r="F231" i="4"/>
  <c r="G239" i="4"/>
  <c r="F248" i="4"/>
  <c r="D257" i="4"/>
  <c r="E265" i="4"/>
  <c r="D274" i="4"/>
  <c r="G282" i="4"/>
  <c r="C291" i="4"/>
  <c r="G295" i="4"/>
  <c r="D300" i="4"/>
  <c r="E304" i="4"/>
  <c r="G307" i="4"/>
  <c r="C311" i="4"/>
  <c r="D314" i="4"/>
  <c r="E317" i="4"/>
  <c r="F320" i="4"/>
  <c r="G323" i="4"/>
  <c r="C327" i="4"/>
  <c r="D330" i="4"/>
  <c r="D334" i="4"/>
  <c r="F340" i="4"/>
  <c r="F348" i="4"/>
  <c r="G355" i="4"/>
  <c r="G363" i="4"/>
  <c r="C283" i="4"/>
  <c r="D296" i="4"/>
  <c r="F304" i="4"/>
  <c r="D311" i="4"/>
  <c r="F317" i="4"/>
  <c r="C324" i="4"/>
  <c r="E330" i="4"/>
  <c r="G336" i="4"/>
  <c r="D343" i="4"/>
  <c r="F349" i="4"/>
  <c r="C356" i="4"/>
  <c r="E362" i="4"/>
  <c r="D50" i="4"/>
  <c r="G367" i="4"/>
  <c r="E314" i="4"/>
  <c r="C340" i="4"/>
  <c r="F365" i="4"/>
  <c r="E167" i="4"/>
  <c r="F224" i="4"/>
  <c r="E260" i="4"/>
  <c r="D293" i="4"/>
  <c r="C309" i="4"/>
  <c r="G321" i="4"/>
  <c r="F334" i="4"/>
  <c r="G345" i="4"/>
  <c r="D352" i="4"/>
  <c r="F358" i="4"/>
  <c r="C365" i="4"/>
  <c r="D67" i="4"/>
  <c r="G112" i="4"/>
  <c r="F139" i="4"/>
  <c r="G157" i="4"/>
  <c r="E175" i="4"/>
  <c r="G192" i="4"/>
  <c r="E206" i="4"/>
  <c r="D218" i="4"/>
  <c r="F229" i="4"/>
  <c r="D238" i="4"/>
  <c r="C247" i="4"/>
  <c r="F255" i="4"/>
  <c r="G263" i="4"/>
  <c r="G291" i="4"/>
  <c r="G320" i="4"/>
  <c r="G96" i="4"/>
  <c r="C185" i="4"/>
  <c r="G234" i="4"/>
  <c r="E297" i="4"/>
  <c r="G337" i="4"/>
  <c r="G353" i="4"/>
  <c r="E85" i="4"/>
  <c r="C144" i="4"/>
  <c r="D196" i="4"/>
  <c r="G231" i="4"/>
  <c r="E257" i="4"/>
  <c r="E300" i="4"/>
  <c r="D327" i="4"/>
  <c r="G352" i="4"/>
  <c r="D129" i="4"/>
  <c r="G201" i="4"/>
  <c r="C243" i="4"/>
  <c r="E277" i="4"/>
  <c r="G301" i="4"/>
  <c r="E315" i="4"/>
  <c r="D328" i="4"/>
  <c r="C341" i="4"/>
  <c r="C349" i="4"/>
  <c r="E355" i="4"/>
  <c r="G361" i="4"/>
  <c r="F24" i="4"/>
  <c r="F96" i="4"/>
  <c r="C127" i="4"/>
  <c r="G149" i="4"/>
  <c r="D167" i="4"/>
  <c r="E183" i="4"/>
  <c r="C201" i="4"/>
  <c r="F212" i="4"/>
  <c r="E223" i="4"/>
  <c r="D234" i="4"/>
  <c r="G242" i="4"/>
  <c r="C251" i="4"/>
  <c r="G259" i="4"/>
  <c r="E268" i="4"/>
  <c r="E346" i="4"/>
  <c r="F268" i="4"/>
  <c r="D312" i="4"/>
  <c r="E347" i="4"/>
  <c r="D360" i="4"/>
  <c r="D122" i="4"/>
  <c r="C180" i="4"/>
  <c r="F209" i="4"/>
  <c r="F240" i="4"/>
  <c r="D266" i="4"/>
  <c r="C308" i="4"/>
  <c r="F333" i="4"/>
  <c r="D359" i="4"/>
  <c r="D151" i="4"/>
  <c r="G212" i="4"/>
  <c r="G251" i="4"/>
  <c r="C286" i="4"/>
  <c r="G305" i="4"/>
  <c r="F318" i="4"/>
  <c r="E331" i="4"/>
  <c r="D344" i="4"/>
  <c r="F350" i="4"/>
  <c r="C357" i="4"/>
  <c r="E363" i="4"/>
  <c r="G49" i="4"/>
  <c r="D103" i="4"/>
  <c r="E133" i="4"/>
  <c r="E154" i="4"/>
  <c r="F170" i="4"/>
  <c r="D188" i="4"/>
  <c r="C204" i="4"/>
  <c r="C215" i="4"/>
  <c r="F226" i="4"/>
  <c r="E236" i="4"/>
  <c r="F244" i="4"/>
  <c r="E253" i="4"/>
  <c r="C262" i="4"/>
  <c r="D270" i="4"/>
  <c r="C325" i="4"/>
  <c r="F366" i="4"/>
  <c r="F162" i="4"/>
  <c r="C221" i="4"/>
  <c r="D249" i="4"/>
  <c r="I8" i="4" a="1"/>
  <c r="L32" i="4" l="1"/>
  <c r="M21" i="4"/>
  <c r="I73" i="4"/>
  <c r="K56" i="4"/>
  <c r="I101" i="4"/>
  <c r="K25" i="4"/>
  <c r="I33" i="4"/>
  <c r="J33" i="4"/>
  <c r="K95" i="4"/>
  <c r="J70" i="4"/>
  <c r="L17" i="4"/>
  <c r="L144" i="4"/>
  <c r="M195" i="4"/>
  <c r="J91" i="4"/>
  <c r="K162" i="4"/>
  <c r="M99" i="4"/>
  <c r="J62" i="4"/>
  <c r="M22" i="4"/>
  <c r="L106" i="4"/>
  <c r="M9" i="4"/>
  <c r="K32" i="4"/>
  <c r="M35" i="4"/>
  <c r="I25" i="4"/>
  <c r="K8" i="4"/>
  <c r="L59" i="4"/>
  <c r="J104" i="4"/>
  <c r="I31" i="4"/>
  <c r="I37" i="4"/>
  <c r="I38" i="4"/>
  <c r="K99" i="4"/>
  <c r="K74" i="4"/>
  <c r="J43" i="4"/>
  <c r="M147" i="4"/>
  <c r="I199" i="4"/>
  <c r="L97" i="4"/>
  <c r="L165" i="4"/>
  <c r="L112" i="4"/>
  <c r="I67" i="4"/>
  <c r="K28" i="4"/>
  <c r="I113" i="4"/>
  <c r="L14" i="4"/>
  <c r="M38" i="4"/>
  <c r="J26" i="4"/>
  <c r="K15" i="4"/>
  <c r="L66" i="4"/>
  <c r="I50" i="4"/>
  <c r="L94" i="4"/>
  <c r="L12" i="4"/>
  <c r="J24" i="4"/>
  <c r="J25" i="4"/>
  <c r="L86" i="4"/>
  <c r="J55" i="4"/>
  <c r="K116" i="4"/>
  <c r="K137" i="4"/>
  <c r="K189" i="4"/>
  <c r="K78" i="4"/>
  <c r="I156" i="4"/>
  <c r="L73" i="4"/>
  <c r="J50" i="4"/>
  <c r="M10" i="4"/>
  <c r="J96" i="4"/>
  <c r="M59" i="4"/>
  <c r="I22" i="4"/>
  <c r="L16" i="4"/>
  <c r="M67" i="4"/>
  <c r="I57" i="4"/>
  <c r="K40" i="4"/>
  <c r="I85" i="4"/>
  <c r="J136" i="4"/>
  <c r="K11" i="4"/>
  <c r="K12" i="4"/>
  <c r="J73" i="4"/>
  <c r="L13" i="4"/>
  <c r="M106" i="4"/>
  <c r="L124" i="4"/>
  <c r="M179" i="4"/>
  <c r="J31" i="4"/>
  <c r="I15" i="4"/>
  <c r="K45" i="4"/>
  <c r="L34" i="4"/>
  <c r="I18" i="4"/>
  <c r="M44" i="4"/>
  <c r="M113" i="4"/>
  <c r="M43" i="4"/>
  <c r="M49" i="4"/>
  <c r="M50" i="4"/>
  <c r="J112" i="4"/>
  <c r="K84" i="4"/>
  <c r="K81" i="4"/>
  <c r="K157" i="4"/>
  <c r="L208" i="4"/>
  <c r="M116" i="4"/>
  <c r="J175" i="4"/>
  <c r="I141" i="4"/>
  <c r="L22" i="4"/>
  <c r="J45" i="4"/>
  <c r="L130" i="4"/>
  <c r="J32" i="4"/>
  <c r="J18" i="4"/>
  <c r="L48" i="4"/>
  <c r="M37" i="4"/>
  <c r="J21" i="4"/>
  <c r="L57" i="4"/>
  <c r="I117" i="4"/>
  <c r="M47" i="4"/>
  <c r="L54" i="4"/>
  <c r="M54" i="4"/>
  <c r="J116" i="4"/>
  <c r="L87" i="4"/>
  <c r="M87" i="4"/>
  <c r="L160" i="4"/>
  <c r="M211" i="4"/>
  <c r="M122" i="4"/>
  <c r="K178" i="4"/>
  <c r="K147" i="4"/>
  <c r="K27" i="4"/>
  <c r="L51" i="4"/>
  <c r="K135" i="4"/>
  <c r="L38" i="4"/>
  <c r="L8" i="4"/>
  <c r="I39" i="4"/>
  <c r="J28" i="4"/>
  <c r="L11" i="4"/>
  <c r="J19" i="4"/>
  <c r="K107" i="4"/>
  <c r="I35" i="4"/>
  <c r="M41" i="4"/>
  <c r="I42" i="4"/>
  <c r="K103" i="4"/>
  <c r="I78" i="4"/>
  <c r="K64" i="4"/>
  <c r="I151" i="4"/>
  <c r="J202" i="4"/>
  <c r="I104" i="4"/>
  <c r="M168" i="4"/>
  <c r="I124" i="4"/>
  <c r="L10" i="4"/>
  <c r="M34" i="4"/>
  <c r="L118" i="4"/>
  <c r="I21" i="4"/>
  <c r="K44" i="4"/>
  <c r="K29" i="4"/>
  <c r="L18" i="4"/>
  <c r="M69" i="4"/>
  <c r="J53" i="4"/>
  <c r="M97" i="4"/>
  <c r="I19" i="4"/>
  <c r="I29" i="4"/>
  <c r="J29" i="4"/>
  <c r="L90" i="4"/>
  <c r="I64" i="4"/>
  <c r="L119" i="4"/>
  <c r="K141" i="4"/>
  <c r="L192" i="4"/>
  <c r="M84" i="4"/>
  <c r="J159" i="4"/>
  <c r="I87" i="4"/>
  <c r="M55" i="4"/>
  <c r="J17" i="4"/>
  <c r="M101" i="4"/>
  <c r="J66" i="4"/>
  <c r="M26" i="4"/>
  <c r="M27" i="4"/>
  <c r="J58" i="4"/>
  <c r="K47" i="4"/>
  <c r="M30" i="4"/>
  <c r="J75" i="4"/>
  <c r="L126" i="4"/>
  <c r="L60" i="4"/>
  <c r="K67" i="4"/>
  <c r="K38" i="4"/>
  <c r="I129" i="4"/>
  <c r="J97" i="4"/>
  <c r="I107" i="4"/>
  <c r="J170" i="4"/>
  <c r="K221" i="4"/>
  <c r="L135" i="4"/>
  <c r="I188" i="4"/>
  <c r="K9" i="4"/>
  <c r="I45" i="4"/>
  <c r="L41" i="4"/>
  <c r="M23" i="4"/>
  <c r="K55" i="4"/>
  <c r="J10" i="4"/>
  <c r="K61" i="4"/>
  <c r="L50" i="4"/>
  <c r="I34" i="4"/>
  <c r="L78" i="4"/>
  <c r="M129" i="4"/>
  <c r="K65" i="4"/>
  <c r="K71" i="4"/>
  <c r="K54" i="4"/>
  <c r="M133" i="4"/>
  <c r="K100" i="4"/>
  <c r="K113" i="4"/>
  <c r="K173" i="4"/>
  <c r="L224" i="4"/>
  <c r="M139" i="4"/>
  <c r="J191" i="4"/>
  <c r="K17" i="4"/>
  <c r="K51" i="4"/>
  <c r="I62" i="4"/>
  <c r="M31" i="4"/>
  <c r="I61" i="4"/>
  <c r="K21" i="4"/>
  <c r="M51" i="4"/>
  <c r="I41" i="4"/>
  <c r="K24" i="4"/>
  <c r="J65" i="4"/>
  <c r="J120" i="4"/>
  <c r="L52" i="4"/>
  <c r="L58" i="4"/>
  <c r="M58" i="4"/>
  <c r="I121" i="4"/>
  <c r="M90" i="4"/>
  <c r="J94" i="4"/>
  <c r="M163" i="4"/>
  <c r="I215" i="4"/>
  <c r="I127" i="4"/>
  <c r="L181" i="4"/>
  <c r="M153" i="4"/>
  <c r="M33" i="4"/>
  <c r="J57" i="4"/>
  <c r="K10" i="4"/>
  <c r="K43" i="4"/>
  <c r="M11" i="4"/>
  <c r="J42" i="4"/>
  <c r="K31" i="4"/>
  <c r="M14" i="4"/>
  <c r="I32" i="4"/>
  <c r="L110" i="4"/>
  <c r="M39" i="4"/>
  <c r="M45" i="4"/>
  <c r="I46" i="4"/>
  <c r="J108" i="4"/>
  <c r="J81" i="4"/>
  <c r="M74" i="4"/>
  <c r="J154" i="4"/>
  <c r="K205" i="4"/>
  <c r="K110" i="4"/>
  <c r="I172" i="4"/>
  <c r="L132" i="4"/>
  <c r="I17" i="4"/>
  <c r="L39" i="4"/>
  <c r="J124" i="4"/>
  <c r="L26" i="4"/>
  <c r="J49" i="4"/>
  <c r="M19" i="4"/>
  <c r="J88" i="4"/>
  <c r="M77" i="4"/>
  <c r="I183" i="4"/>
  <c r="J38" i="4"/>
  <c r="I10" i="4"/>
  <c r="M46" i="4"/>
  <c r="K20" i="4"/>
  <c r="J133" i="4"/>
  <c r="I40" i="4"/>
  <c r="J54" i="4"/>
  <c r="M53" i="4"/>
  <c r="K69" i="4"/>
  <c r="L103" i="4"/>
  <c r="J143" i="4"/>
  <c r="I72" i="4"/>
  <c r="I55" i="4"/>
  <c r="K123" i="4"/>
  <c r="I125" i="4"/>
  <c r="J218" i="4"/>
  <c r="K46" i="4"/>
  <c r="M61" i="4"/>
  <c r="I43" i="4"/>
  <c r="I70" i="4"/>
  <c r="M68" i="4"/>
  <c r="K89" i="4"/>
  <c r="J178" i="4"/>
  <c r="L23" i="4"/>
  <c r="J85" i="4"/>
  <c r="J146" i="4"/>
  <c r="J226" i="4"/>
  <c r="K158" i="4"/>
  <c r="L42" i="4"/>
  <c r="I36" i="4"/>
  <c r="M111" i="4"/>
  <c r="M207" i="4"/>
  <c r="M140" i="4"/>
  <c r="J132" i="4"/>
  <c r="K201" i="4"/>
  <c r="J187" i="4"/>
  <c r="M193" i="4"/>
  <c r="M253" i="4"/>
  <c r="I305" i="4"/>
  <c r="L171" i="4"/>
  <c r="M12" i="4"/>
  <c r="K26" i="4"/>
  <c r="L49" i="4"/>
  <c r="K165" i="4"/>
  <c r="M57" i="4"/>
  <c r="K62" i="4"/>
  <c r="L125" i="4"/>
  <c r="K213" i="4"/>
  <c r="L145" i="4"/>
  <c r="J8" i="4"/>
  <c r="K115" i="4"/>
  <c r="J78" i="4"/>
  <c r="I195" i="4"/>
  <c r="M123" i="4"/>
  <c r="J51" i="4"/>
  <c r="I171" i="4"/>
  <c r="K170" i="4"/>
  <c r="L174" i="4"/>
  <c r="J244" i="4"/>
  <c r="K295" i="4"/>
  <c r="K152" i="4"/>
  <c r="J233" i="4"/>
  <c r="M105" i="4"/>
  <c r="K96" i="4"/>
  <c r="J134" i="4"/>
  <c r="L40" i="4"/>
  <c r="M85" i="4"/>
  <c r="M118" i="4"/>
  <c r="L180" i="4"/>
  <c r="M100" i="4"/>
  <c r="I184" i="4"/>
  <c r="M42" i="4"/>
  <c r="M94" i="4"/>
  <c r="M155" i="4"/>
  <c r="K50" i="4"/>
  <c r="K41" i="4"/>
  <c r="K120" i="4"/>
  <c r="K102" i="4"/>
  <c r="J106" i="4"/>
  <c r="L219" i="4"/>
  <c r="I273" i="4"/>
  <c r="I9" i="4"/>
  <c r="K139" i="4"/>
  <c r="J60" i="4"/>
  <c r="J16" i="4"/>
  <c r="I110" i="4"/>
  <c r="L149" i="4"/>
  <c r="J84" i="4"/>
  <c r="J12" i="4"/>
  <c r="M16" i="4"/>
  <c r="K42" i="4"/>
  <c r="M70" i="4"/>
  <c r="M73" i="4"/>
  <c r="K13" i="4"/>
  <c r="M81" i="4"/>
  <c r="M66" i="4"/>
  <c r="L176" i="4"/>
  <c r="I27" i="4"/>
  <c r="M65" i="4"/>
  <c r="L27" i="4"/>
  <c r="L62" i="4"/>
  <c r="L100" i="4"/>
  <c r="K146" i="4"/>
  <c r="K33" i="4"/>
  <c r="K79" i="4"/>
  <c r="J72" i="4"/>
  <c r="M117" i="4"/>
  <c r="J105" i="4"/>
  <c r="M143" i="4"/>
  <c r="I63" i="4"/>
  <c r="I109" i="4"/>
  <c r="L67" i="4"/>
  <c r="M191" i="4"/>
  <c r="K118" i="4"/>
  <c r="M192" i="4"/>
  <c r="M28" i="4"/>
  <c r="I106" i="4"/>
  <c r="M167" i="4"/>
  <c r="L81" i="4"/>
  <c r="M25" i="4"/>
  <c r="M95" i="4"/>
  <c r="K132" i="4"/>
  <c r="M134" i="4"/>
  <c r="J228" i="4"/>
  <c r="K279" i="4"/>
  <c r="L109" i="4"/>
  <c r="L213" i="4"/>
  <c r="J100" i="4"/>
  <c r="K92" i="4"/>
  <c r="M127" i="4"/>
  <c r="L28" i="4"/>
  <c r="J74" i="4"/>
  <c r="K112" i="4"/>
  <c r="I175" i="4"/>
  <c r="M92" i="4"/>
  <c r="I180" i="4"/>
  <c r="L31" i="4"/>
  <c r="J89" i="4"/>
  <c r="J150" i="4"/>
  <c r="K18" i="4"/>
  <c r="J14" i="4"/>
  <c r="K108" i="4"/>
  <c r="K86" i="4"/>
  <c r="J90" i="4"/>
  <c r="K215" i="4"/>
  <c r="M269" i="4"/>
  <c r="L69" i="4"/>
  <c r="M200" i="4"/>
  <c r="J35" i="4"/>
  <c r="L45" i="4"/>
  <c r="K70" i="4"/>
  <c r="K169" i="4"/>
  <c r="I69" i="4"/>
  <c r="K72" i="4"/>
  <c r="I132" i="4"/>
  <c r="K217" i="4"/>
  <c r="K150" i="4"/>
  <c r="K19" i="4"/>
  <c r="K127" i="4"/>
  <c r="I91" i="4"/>
  <c r="M199" i="4"/>
  <c r="K16" i="4"/>
  <c r="M75" i="4"/>
  <c r="K63" i="4"/>
  <c r="J113" i="4"/>
  <c r="M89" i="4"/>
  <c r="I133" i="4"/>
  <c r="M227" i="4"/>
  <c r="L24" i="4"/>
  <c r="K22" i="4"/>
  <c r="M184" i="4"/>
  <c r="M15" i="4"/>
  <c r="J140" i="4"/>
  <c r="K161" i="4"/>
  <c r="J39" i="4"/>
  <c r="K209" i="4"/>
  <c r="I59" i="4"/>
  <c r="J61" i="4"/>
  <c r="J115" i="4"/>
  <c r="I159" i="4"/>
  <c r="J168" i="4"/>
  <c r="J292" i="4"/>
  <c r="I230" i="4"/>
  <c r="J109" i="4"/>
  <c r="I13" i="4"/>
  <c r="I83" i="4"/>
  <c r="M124" i="4"/>
  <c r="K68" i="4"/>
  <c r="L172" i="4"/>
  <c r="J48" i="4"/>
  <c r="K142" i="4"/>
  <c r="K231" i="4"/>
  <c r="J122" i="4"/>
  <c r="K83" i="4"/>
  <c r="K105" i="4"/>
  <c r="L47" i="4"/>
  <c r="J158" i="4"/>
  <c r="J167" i="4"/>
  <c r="J71" i="4"/>
  <c r="L216" i="4"/>
  <c r="L70" i="4"/>
  <c r="K181" i="4"/>
  <c r="J59" i="4"/>
  <c r="L234" i="4"/>
  <c r="L298" i="4"/>
  <c r="M158" i="4"/>
  <c r="K236" i="4"/>
  <c r="L134" i="4"/>
  <c r="I118" i="4"/>
  <c r="L156" i="4"/>
  <c r="K35" i="4"/>
  <c r="I20" i="4"/>
  <c r="M103" i="4"/>
  <c r="L204" i="4"/>
  <c r="L136" i="4"/>
  <c r="I47" i="4"/>
  <c r="I93" i="4"/>
  <c r="I24" i="4"/>
  <c r="L184" i="4"/>
  <c r="J107" i="4"/>
  <c r="I26" i="4"/>
  <c r="I147" i="4"/>
  <c r="I160" i="4"/>
  <c r="M161" i="4"/>
  <c r="M237" i="4"/>
  <c r="I289" i="4"/>
  <c r="J139" i="4"/>
  <c r="K226" i="4"/>
  <c r="L271" i="4"/>
  <c r="L337" i="4"/>
  <c r="I30" i="4"/>
  <c r="K149" i="4"/>
  <c r="M160" i="4"/>
  <c r="K163" i="4"/>
  <c r="J30" i="4"/>
  <c r="M114" i="4"/>
  <c r="K94" i="4"/>
  <c r="L96" i="4"/>
  <c r="L217" i="4"/>
  <c r="K271" i="4"/>
  <c r="L77" i="4"/>
  <c r="M202" i="4"/>
  <c r="K260" i="4"/>
  <c r="L29" i="4"/>
  <c r="J68" i="4"/>
  <c r="K91" i="4"/>
  <c r="J186" i="4"/>
  <c r="L15" i="4"/>
  <c r="K75" i="4"/>
  <c r="K194" i="4"/>
  <c r="J44" i="4"/>
  <c r="I94" i="4"/>
  <c r="J160" i="4"/>
  <c r="I49" i="4"/>
  <c r="K88" i="4"/>
  <c r="I11" i="4"/>
  <c r="L107" i="4"/>
  <c r="J83" i="4"/>
  <c r="L19" i="4"/>
  <c r="K145" i="4"/>
  <c r="L157" i="4"/>
  <c r="M64" i="4"/>
  <c r="J211" i="4"/>
  <c r="I28" i="4"/>
  <c r="I77" i="4"/>
  <c r="K97" i="4"/>
  <c r="L35" i="4"/>
  <c r="M151" i="4"/>
  <c r="J163" i="4"/>
  <c r="K58" i="4"/>
  <c r="L212" i="4"/>
  <c r="M48" i="4"/>
  <c r="L193" i="4"/>
  <c r="I257" i="4"/>
  <c r="I178" i="4"/>
  <c r="J128" i="4"/>
  <c r="L152" i="4"/>
  <c r="K131" i="4"/>
  <c r="L200" i="4"/>
  <c r="L36" i="4"/>
  <c r="J117" i="4"/>
  <c r="J99" i="4"/>
  <c r="K87" i="4"/>
  <c r="I219" i="4"/>
  <c r="J152" i="4"/>
  <c r="K247" i="4"/>
  <c r="K311" i="4"/>
  <c r="K184" i="4"/>
  <c r="K60" i="4"/>
  <c r="M60" i="4"/>
  <c r="M79" i="4"/>
  <c r="J174" i="4"/>
  <c r="J13" i="4"/>
  <c r="M78" i="4"/>
  <c r="L140" i="4"/>
  <c r="J222" i="4"/>
  <c r="K154" i="4"/>
  <c r="L30" i="4"/>
  <c r="L138" i="4"/>
  <c r="J102" i="4"/>
  <c r="M203" i="4"/>
  <c r="K134" i="4"/>
  <c r="M109" i="4"/>
  <c r="K193" i="4"/>
  <c r="K182" i="4"/>
  <c r="K187" i="4"/>
  <c r="L250" i="4"/>
  <c r="M301" i="4"/>
  <c r="J165" i="4"/>
  <c r="L239" i="4"/>
  <c r="K284" i="4"/>
  <c r="M157" i="4"/>
  <c r="L114" i="4"/>
  <c r="J194" i="4"/>
  <c r="J183" i="4"/>
  <c r="I189" i="4"/>
  <c r="K59" i="4"/>
  <c r="M126" i="4"/>
  <c r="J147" i="4"/>
  <c r="I149" i="4"/>
  <c r="I233" i="4"/>
  <c r="J284" i="4"/>
  <c r="K126" i="4"/>
  <c r="I220" i="4"/>
  <c r="J273" i="4"/>
  <c r="K342" i="4"/>
  <c r="K164" i="4"/>
  <c r="L289" i="4"/>
  <c r="M128" i="4"/>
  <c r="J20" i="4"/>
  <c r="L64" i="4"/>
  <c r="J56" i="4"/>
  <c r="I167" i="4"/>
  <c r="L55" i="4"/>
  <c r="L46" i="4"/>
  <c r="L141" i="4"/>
  <c r="J190" i="4"/>
  <c r="M164" i="4"/>
  <c r="I146" i="4"/>
  <c r="L148" i="4"/>
  <c r="L196" i="4"/>
  <c r="L111" i="4"/>
  <c r="J118" i="4"/>
  <c r="L282" i="4"/>
  <c r="L79" i="4"/>
  <c r="L95" i="4"/>
  <c r="I65" i="4"/>
  <c r="J129" i="4"/>
  <c r="J151" i="4"/>
  <c r="J260" i="4"/>
  <c r="I205" i="4"/>
  <c r="L83" i="4"/>
  <c r="I191" i="4"/>
  <c r="I102" i="4"/>
  <c r="I75" i="4"/>
  <c r="J9" i="4"/>
  <c r="K138" i="4"/>
  <c r="L153" i="4"/>
  <c r="I227" i="4"/>
  <c r="M206" i="4"/>
  <c r="L314" i="4"/>
  <c r="M242" i="4"/>
  <c r="K261" i="4"/>
  <c r="I12" i="4"/>
  <c r="I208" i="4"/>
  <c r="M175" i="4"/>
  <c r="M177" i="4"/>
  <c r="I297" i="4"/>
  <c r="M234" i="4"/>
  <c r="K294" i="4"/>
  <c r="M208" i="4"/>
  <c r="I322" i="4"/>
  <c r="K353" i="4"/>
  <c r="L345" i="4"/>
  <c r="L162" i="4"/>
  <c r="M288" i="4"/>
  <c r="M274" i="4"/>
  <c r="I348" i="4"/>
  <c r="K52" i="4"/>
  <c r="M159" i="4"/>
  <c r="K166" i="4"/>
  <c r="M169" i="4"/>
  <c r="K53" i="4"/>
  <c r="M36" i="4"/>
  <c r="I112" i="4"/>
  <c r="M115" i="4"/>
  <c r="M221" i="4"/>
  <c r="L274" i="4"/>
  <c r="K90" i="4"/>
  <c r="J207" i="4"/>
  <c r="L263" i="4"/>
  <c r="J307" i="4"/>
  <c r="M120" i="4"/>
  <c r="J271" i="4"/>
  <c r="I338" i="4"/>
  <c r="L205" i="4"/>
  <c r="I177" i="4"/>
  <c r="I216" i="4"/>
  <c r="K252" i="4"/>
  <c r="J235" i="4"/>
  <c r="L20" i="4"/>
  <c r="M110" i="4"/>
  <c r="I88" i="4"/>
  <c r="K93" i="4"/>
  <c r="K216" i="4"/>
  <c r="M121" i="4"/>
  <c r="K197" i="4"/>
  <c r="L185" i="4"/>
  <c r="L190" i="4"/>
  <c r="J252" i="4"/>
  <c r="K303" i="4"/>
  <c r="K168" i="4"/>
  <c r="J241" i="4"/>
  <c r="J111" i="4"/>
  <c r="L232" i="4"/>
  <c r="M225" i="4"/>
  <c r="J315" i="4"/>
  <c r="M366" i="4"/>
  <c r="M328" i="4"/>
  <c r="L255" i="4"/>
  <c r="K262" i="4"/>
  <c r="J46" i="4"/>
  <c r="J121" i="4"/>
  <c r="L105" i="4"/>
  <c r="K109" i="4"/>
  <c r="M220" i="4"/>
  <c r="J23" i="4"/>
  <c r="J206" i="4"/>
  <c r="K190" i="4"/>
  <c r="J196" i="4"/>
  <c r="K255" i="4"/>
  <c r="L306" i="4"/>
  <c r="M174" i="4"/>
  <c r="K244" i="4"/>
  <c r="M131" i="4"/>
  <c r="M251" i="4"/>
  <c r="M232" i="4"/>
  <c r="M318" i="4"/>
  <c r="I347" i="4"/>
  <c r="M336" i="4"/>
  <c r="M149" i="4"/>
  <c r="K314" i="4"/>
  <c r="I232" i="4"/>
  <c r="K289" i="4"/>
  <c r="K304" i="4"/>
  <c r="J67" i="4"/>
  <c r="M215" i="4"/>
  <c r="L33" i="4"/>
  <c r="L201" i="4"/>
  <c r="K259" i="4"/>
  <c r="L310" i="4"/>
  <c r="M182" i="4"/>
  <c r="K248" i="4"/>
  <c r="I197" i="4"/>
  <c r="J274" i="4"/>
  <c r="L127" i="4"/>
  <c r="I360" i="4"/>
  <c r="M224" i="4"/>
  <c r="L315" i="4"/>
  <c r="J314" i="4"/>
  <c r="K305" i="4"/>
  <c r="K283" i="4"/>
  <c r="I340" i="4"/>
  <c r="J287" i="4"/>
  <c r="M362" i="4"/>
  <c r="I364" i="4"/>
  <c r="K297" i="4"/>
  <c r="K140" i="4"/>
  <c r="M212" i="4"/>
  <c r="L322" i="4"/>
  <c r="L102" i="4"/>
  <c r="L188" i="4"/>
  <c r="M180" i="4"/>
  <c r="M185" i="4"/>
  <c r="M249" i="4"/>
  <c r="I301" i="4"/>
  <c r="L163" i="4"/>
  <c r="M238" i="4"/>
  <c r="I92" i="4"/>
  <c r="I217" i="4"/>
  <c r="K219" i="4"/>
  <c r="L265" i="4"/>
  <c r="M331" i="4"/>
  <c r="I243" i="4"/>
  <c r="L206" i="4"/>
  <c r="L357" i="4"/>
  <c r="I245" i="4"/>
  <c r="J285" i="4"/>
  <c r="L261" i="4"/>
  <c r="I350" i="4"/>
  <c r="J331" i="4"/>
  <c r="L301" i="4"/>
  <c r="L175" i="4"/>
  <c r="M56" i="4"/>
  <c r="L82" i="4"/>
  <c r="J37" i="4"/>
  <c r="K37" i="4"/>
  <c r="J131" i="4"/>
  <c r="M93" i="4"/>
  <c r="I48" i="4"/>
  <c r="I176" i="4"/>
  <c r="K225" i="4"/>
  <c r="J69" i="4"/>
  <c r="K196" i="4"/>
  <c r="J182" i="4"/>
  <c r="M24" i="4"/>
  <c r="L123" i="4"/>
  <c r="J210" i="4"/>
  <c r="J308" i="4"/>
  <c r="I114" i="4"/>
  <c r="L92" i="4"/>
  <c r="I81" i="4"/>
  <c r="M148" i="4"/>
  <c r="M176" i="4"/>
  <c r="M285" i="4"/>
  <c r="I222" i="4"/>
  <c r="J101" i="4"/>
  <c r="I51" i="4"/>
  <c r="K30" i="4"/>
  <c r="M108" i="4"/>
  <c r="I54" i="4"/>
  <c r="J162" i="4"/>
  <c r="M63" i="4"/>
  <c r="I120" i="4"/>
  <c r="I224" i="4"/>
  <c r="M96" i="4"/>
  <c r="M258" i="4"/>
  <c r="L68" i="4"/>
  <c r="L121" i="4"/>
  <c r="I225" i="4"/>
  <c r="J214" i="4"/>
  <c r="K200" i="4"/>
  <c r="M309" i="4"/>
  <c r="L247" i="4"/>
  <c r="J180" i="4"/>
  <c r="J239" i="4"/>
  <c r="M334" i="4"/>
  <c r="M178" i="4"/>
  <c r="I145" i="4"/>
  <c r="K207" i="4"/>
  <c r="I306" i="4"/>
  <c r="L287" i="4"/>
  <c r="L195" i="4"/>
  <c r="I137" i="4"/>
  <c r="I203" i="4"/>
  <c r="L189" i="4"/>
  <c r="J195" i="4"/>
  <c r="I14" i="4"/>
  <c r="J142" i="4"/>
  <c r="J155" i="4"/>
  <c r="I157" i="4"/>
  <c r="J236" i="4"/>
  <c r="K287" i="4"/>
  <c r="I135" i="4"/>
  <c r="J224" i="4"/>
  <c r="K276" i="4"/>
  <c r="M352" i="4"/>
  <c r="J177" i="4"/>
  <c r="I294" i="4"/>
  <c r="M350" i="4"/>
  <c r="I272" i="4"/>
  <c r="M267" i="4"/>
  <c r="L244" i="4"/>
  <c r="J265" i="4"/>
  <c r="M316" i="4"/>
  <c r="J52" i="4"/>
  <c r="K121" i="4"/>
  <c r="I144" i="4"/>
  <c r="M145" i="4"/>
  <c r="J232" i="4"/>
  <c r="L91" i="4"/>
  <c r="L37" i="4"/>
  <c r="M52" i="4"/>
  <c r="I209" i="4"/>
  <c r="I265" i="4"/>
  <c r="J316" i="4"/>
  <c r="I194" i="4"/>
  <c r="I254" i="4"/>
  <c r="L249" i="4"/>
  <c r="L88" i="4"/>
  <c r="I252" i="4"/>
  <c r="K328" i="4"/>
  <c r="J366" i="4"/>
  <c r="K362" i="4"/>
  <c r="K268" i="4"/>
  <c r="J327" i="4"/>
  <c r="L74" i="4"/>
  <c r="K136" i="4"/>
  <c r="I152" i="4"/>
  <c r="K155" i="4"/>
  <c r="K235" i="4"/>
  <c r="M102" i="4"/>
  <c r="M76" i="4"/>
  <c r="L80" i="4"/>
  <c r="J213" i="4"/>
  <c r="J268" i="4"/>
  <c r="L53" i="4"/>
  <c r="L198" i="4"/>
  <c r="J257" i="4"/>
  <c r="J275" i="4"/>
  <c r="K34" i="4"/>
  <c r="K258" i="4"/>
  <c r="L331" i="4"/>
  <c r="M146" i="4"/>
  <c r="I95" i="4"/>
  <c r="M135" i="4"/>
  <c r="M327" i="4"/>
  <c r="I302" i="4"/>
  <c r="K347" i="4"/>
  <c r="J34" i="4"/>
  <c r="L115" i="4"/>
  <c r="I96" i="4"/>
  <c r="I103" i="4"/>
  <c r="L218" i="4"/>
  <c r="J272" i="4"/>
  <c r="M80" i="4"/>
  <c r="I204" i="4"/>
  <c r="J261" i="4"/>
  <c r="L297" i="4"/>
  <c r="L101" i="4"/>
  <c r="L303" i="4"/>
  <c r="I153" i="4"/>
  <c r="K285" i="4"/>
  <c r="J305" i="4"/>
  <c r="M315" i="4"/>
  <c r="L252" i="4"/>
  <c r="K124" i="4"/>
  <c r="I108" i="4"/>
  <c r="I310" i="4"/>
  <c r="M367" i="4"/>
  <c r="I239" i="4"/>
  <c r="J318" i="4"/>
  <c r="J251" i="4"/>
  <c r="K306" i="4"/>
  <c r="J336" i="4"/>
  <c r="I82" i="4"/>
  <c r="M223" i="4"/>
  <c r="I79" i="4"/>
  <c r="M205" i="4"/>
  <c r="L262" i="4"/>
  <c r="M313" i="4"/>
  <c r="J189" i="4"/>
  <c r="L251" i="4"/>
  <c r="M228" i="4"/>
  <c r="L291" i="4"/>
  <c r="K242" i="4"/>
  <c r="I202" i="4"/>
  <c r="K278" i="4"/>
  <c r="L332" i="4"/>
  <c r="K340" i="4"/>
  <c r="K367" i="4"/>
  <c r="J296" i="4"/>
  <c r="L170" i="4"/>
  <c r="M292" i="4"/>
  <c r="L367" i="4"/>
  <c r="L120" i="4"/>
  <c r="K321" i="4"/>
  <c r="K270" i="4"/>
  <c r="M321" i="4"/>
  <c r="M361" i="4"/>
  <c r="J93" i="4"/>
  <c r="I44" i="4"/>
  <c r="M62" i="4"/>
  <c r="K49" i="4"/>
  <c r="M137" i="4"/>
  <c r="K39" i="4"/>
  <c r="L116" i="4"/>
  <c r="K48" i="4"/>
  <c r="L122" i="4"/>
  <c r="J22" i="4"/>
  <c r="J144" i="4"/>
  <c r="I187" i="4"/>
  <c r="I131" i="4"/>
  <c r="I181" i="4"/>
  <c r="I89" i="4"/>
  <c r="I58" i="4"/>
  <c r="J171" i="4"/>
  <c r="L220" i="4"/>
  <c r="K14" i="4"/>
  <c r="M190" i="4"/>
  <c r="M86" i="4"/>
  <c r="J76" i="4"/>
  <c r="M245" i="4"/>
  <c r="I286" i="4"/>
  <c r="M264" i="4"/>
  <c r="I256" i="4"/>
  <c r="J238" i="4"/>
  <c r="L207" i="4"/>
  <c r="M98" i="4"/>
  <c r="K77" i="4"/>
  <c r="L98" i="4"/>
  <c r="J179" i="4"/>
  <c r="I249" i="4"/>
  <c r="I162" i="4"/>
  <c r="L85" i="4"/>
  <c r="J217" i="4"/>
  <c r="L363" i="4"/>
  <c r="K117" i="4"/>
  <c r="I278" i="4"/>
  <c r="L63" i="4"/>
  <c r="M172" i="4"/>
  <c r="M13" i="4"/>
  <c r="I126" i="4"/>
  <c r="I226" i="4"/>
  <c r="J103" i="4"/>
  <c r="M266" i="4"/>
  <c r="J138" i="4"/>
  <c r="J341" i="4"/>
  <c r="K208" i="4"/>
  <c r="J82" i="4"/>
  <c r="M183" i="4"/>
  <c r="L182" i="4"/>
  <c r="L108" i="4"/>
  <c r="I139" i="4"/>
  <c r="I281" i="4"/>
  <c r="L215" i="4"/>
  <c r="I332" i="4"/>
  <c r="I284" i="4"/>
  <c r="I240" i="4"/>
  <c r="M231" i="4"/>
  <c r="K346" i="4"/>
  <c r="J64" i="4"/>
  <c r="I148" i="4"/>
  <c r="M233" i="4"/>
  <c r="L128" i="4"/>
  <c r="I274" i="4"/>
  <c r="L167" i="4"/>
  <c r="I259" i="4"/>
  <c r="M40" i="4"/>
  <c r="L336" i="4"/>
  <c r="I213" i="4"/>
  <c r="I248" i="4"/>
  <c r="I331" i="4"/>
  <c r="J360" i="4"/>
  <c r="I56" i="4"/>
  <c r="I119" i="4"/>
  <c r="K275" i="4"/>
  <c r="J208" i="4"/>
  <c r="L311" i="4"/>
  <c r="L319" i="4"/>
  <c r="J328" i="4"/>
  <c r="M107" i="4"/>
  <c r="I154" i="4"/>
  <c r="K316" i="4"/>
  <c r="M198" i="4"/>
  <c r="L325" i="4"/>
  <c r="K327" i="4"/>
  <c r="M125" i="4"/>
  <c r="I128" i="4"/>
  <c r="L166" i="4"/>
  <c r="J240" i="4"/>
  <c r="K291" i="4"/>
  <c r="K144" i="4"/>
  <c r="J229" i="4"/>
  <c r="K280" i="4"/>
  <c r="J367" i="4"/>
  <c r="J193" i="4"/>
  <c r="L348" i="4"/>
  <c r="K296" i="4"/>
  <c r="K343" i="4"/>
  <c r="K256" i="4"/>
  <c r="J346" i="4"/>
  <c r="J259" i="4"/>
  <c r="K224" i="4"/>
  <c r="J40" i="4"/>
  <c r="L230" i="4"/>
  <c r="M270" i="4"/>
  <c r="K241" i="4"/>
  <c r="M323" i="4"/>
  <c r="J279" i="4"/>
  <c r="I352" i="4"/>
  <c r="M273" i="4"/>
  <c r="I304" i="4"/>
  <c r="M280" i="4"/>
  <c r="L359" i="4"/>
  <c r="I356" i="4"/>
  <c r="L228" i="4"/>
  <c r="K333" i="4"/>
  <c r="M141" i="4"/>
  <c r="J320" i="4"/>
  <c r="K227" i="4"/>
  <c r="L221" i="4"/>
  <c r="M330" i="4"/>
  <c r="M260" i="4"/>
  <c r="L146" i="4"/>
  <c r="I307" i="4"/>
  <c r="L295" i="4"/>
  <c r="L358" i="4"/>
  <c r="L214" i="4"/>
  <c r="J297" i="4"/>
  <c r="L131" i="4"/>
  <c r="K101" i="4"/>
  <c r="L159" i="4"/>
  <c r="M349" i="4"/>
  <c r="J63" i="4"/>
  <c r="I166" i="4"/>
  <c r="I186" i="4"/>
  <c r="M351" i="4"/>
  <c r="K349" i="4"/>
  <c r="I266" i="4"/>
  <c r="L313" i="4"/>
  <c r="M340" i="4"/>
  <c r="I276" i="4"/>
  <c r="K341" i="4"/>
  <c r="K129" i="4"/>
  <c r="L169" i="4"/>
  <c r="M150" i="4"/>
  <c r="K202" i="4"/>
  <c r="L329" i="4"/>
  <c r="L264" i="4"/>
  <c r="J350" i="4"/>
  <c r="M319" i="4"/>
  <c r="J223" i="4"/>
  <c r="J215" i="4"/>
  <c r="I330" i="4"/>
  <c r="M252" i="4"/>
  <c r="I123" i="4"/>
  <c r="L299" i="4"/>
  <c r="I264" i="4"/>
  <c r="K323" i="4"/>
  <c r="L302" i="4"/>
  <c r="L227" i="4"/>
  <c r="I296" i="4"/>
  <c r="K345" i="4"/>
  <c r="K151" i="4"/>
  <c r="M255" i="4"/>
  <c r="L352" i="4"/>
  <c r="K277" i="4"/>
  <c r="M241" i="4"/>
  <c r="M88" i="4"/>
  <c r="M244" i="4"/>
  <c r="I327" i="4"/>
  <c r="K191" i="4"/>
  <c r="I23" i="4"/>
  <c r="M119" i="4"/>
  <c r="I16" i="4"/>
  <c r="L168" i="4"/>
  <c r="I98" i="4"/>
  <c r="L75" i="4"/>
  <c r="I53" i="4"/>
  <c r="K198" i="4"/>
  <c r="K23" i="4"/>
  <c r="I179" i="4"/>
  <c r="L202" i="4"/>
  <c r="K111" i="4"/>
  <c r="I97" i="4"/>
  <c r="M188" i="4"/>
  <c r="M72" i="4"/>
  <c r="I122" i="4"/>
  <c r="J209" i="4"/>
  <c r="L76" i="4"/>
  <c r="L65" i="4"/>
  <c r="L258" i="4"/>
  <c r="I182" i="4"/>
  <c r="M306" i="4"/>
  <c r="K310" i="4"/>
  <c r="M263" i="4"/>
  <c r="M300" i="4"/>
  <c r="I99" i="4"/>
  <c r="M136" i="4"/>
  <c r="K80" i="4"/>
  <c r="L71" i="4"/>
  <c r="M261" i="4"/>
  <c r="L187" i="4"/>
  <c r="L222" i="4"/>
  <c r="L245" i="4"/>
  <c r="M359" i="4"/>
  <c r="K175" i="4"/>
  <c r="K98" i="4"/>
  <c r="I52" i="4"/>
  <c r="I8" i="4"/>
  <c r="K36" i="4"/>
  <c r="L161" i="4"/>
  <c r="K239" i="4"/>
  <c r="M142" i="4"/>
  <c r="L279" i="4"/>
  <c r="I190" i="4"/>
  <c r="I354" i="4"/>
  <c r="I287" i="4"/>
  <c r="J242" i="4"/>
  <c r="M219" i="4"/>
  <c r="L203" i="4"/>
  <c r="L164" i="4"/>
  <c r="K171" i="4"/>
  <c r="M293" i="4"/>
  <c r="L231" i="4"/>
  <c r="I138" i="4"/>
  <c r="K302" i="4"/>
  <c r="M299" i="4"/>
  <c r="I283" i="4"/>
  <c r="M173" i="4"/>
  <c r="J80" i="4"/>
  <c r="K174" i="4"/>
  <c r="L246" i="4"/>
  <c r="J157" i="4"/>
  <c r="M286" i="4"/>
  <c r="M210" i="4"/>
  <c r="I323" i="4"/>
  <c r="I134" i="4"/>
  <c r="J114" i="4"/>
  <c r="L253" i="4"/>
  <c r="K318" i="4"/>
  <c r="L344" i="4"/>
  <c r="I365" i="4"/>
  <c r="I143" i="4"/>
  <c r="L158" i="4"/>
  <c r="J288" i="4"/>
  <c r="J225" i="4"/>
  <c r="J355" i="4"/>
  <c r="I358" i="4"/>
  <c r="L342" i="4"/>
  <c r="I319" i="4"/>
  <c r="I234" i="4"/>
  <c r="J333" i="4"/>
  <c r="K257" i="4"/>
  <c r="L365" i="4"/>
  <c r="K335" i="4"/>
  <c r="J86" i="4"/>
  <c r="I164" i="4"/>
  <c r="J192" i="4"/>
  <c r="I253" i="4"/>
  <c r="J304" i="4"/>
  <c r="I170" i="4"/>
  <c r="I242" i="4"/>
  <c r="L117" i="4"/>
  <c r="K237" i="4"/>
  <c r="K253" i="4"/>
  <c r="I303" i="4"/>
  <c r="M339" i="4"/>
  <c r="J278" i="4"/>
  <c r="K250" i="4"/>
  <c r="I255" i="4"/>
  <c r="M257" i="4"/>
  <c r="K337" i="4"/>
  <c r="J110" i="4"/>
  <c r="M281" i="4"/>
  <c r="J335" i="4"/>
  <c r="J340" i="4"/>
  <c r="M201" i="4"/>
  <c r="K324" i="4"/>
  <c r="I111" i="4"/>
  <c r="J87" i="4"/>
  <c r="J282" i="4"/>
  <c r="L305" i="4"/>
  <c r="K361" i="4"/>
  <c r="J219" i="4"/>
  <c r="J262" i="4"/>
  <c r="I359" i="4"/>
  <c r="I300" i="4"/>
  <c r="L238" i="4"/>
  <c r="M278" i="4"/>
  <c r="M256" i="4"/>
  <c r="K348" i="4"/>
  <c r="I324" i="4"/>
  <c r="L209" i="4"/>
  <c r="J326" i="4"/>
  <c r="K354" i="4"/>
  <c r="L338" i="4"/>
  <c r="I282" i="4"/>
  <c r="J345" i="4"/>
  <c r="K249" i="4"/>
  <c r="I333" i="4"/>
  <c r="L308" i="4"/>
  <c r="M312" i="4"/>
  <c r="L281" i="4"/>
  <c r="K320" i="4"/>
  <c r="M283" i="4"/>
  <c r="I344" i="4"/>
  <c r="J363" i="4"/>
  <c r="K204" i="4"/>
  <c r="J127" i="4"/>
  <c r="L326" i="4"/>
  <c r="K326" i="4"/>
  <c r="M317" i="4"/>
  <c r="I353" i="4"/>
  <c r="I173" i="4"/>
  <c r="K232" i="4"/>
  <c r="L364" i="4"/>
  <c r="L191" i="4"/>
  <c r="I236" i="4"/>
  <c r="J291" i="4"/>
  <c r="M189" i="4"/>
  <c r="L275" i="4"/>
  <c r="J255" i="4"/>
  <c r="M346" i="4"/>
  <c r="K322" i="4"/>
  <c r="L194" i="4"/>
  <c r="L320" i="4"/>
  <c r="K338" i="4"/>
  <c r="I316" i="4"/>
  <c r="M166" i="4"/>
  <c r="I158" i="4"/>
  <c r="I318" i="4"/>
  <c r="K188" i="4"/>
  <c r="M295" i="4"/>
  <c r="I290" i="4"/>
  <c r="K218" i="4"/>
  <c r="I357" i="4"/>
  <c r="M112" i="4"/>
  <c r="K234" i="4"/>
  <c r="I161" i="4"/>
  <c r="K254" i="4"/>
  <c r="J309" i="4"/>
  <c r="L350" i="4"/>
  <c r="I80" i="4"/>
  <c r="J199" i="4"/>
  <c r="M213" i="4"/>
  <c r="J321" i="4"/>
  <c r="J311" i="4"/>
  <c r="I100" i="4"/>
  <c r="I363" i="4"/>
  <c r="J79" i="4"/>
  <c r="M186" i="4"/>
  <c r="L260" i="4"/>
  <c r="K203" i="4"/>
  <c r="I207" i="4"/>
  <c r="K307" i="4"/>
  <c r="L256" i="4"/>
  <c r="K298" i="4"/>
  <c r="L259" i="4"/>
  <c r="I342" i="4"/>
  <c r="J172" i="4"/>
  <c r="L43" i="4"/>
  <c r="L56" i="4"/>
  <c r="M82" i="4"/>
  <c r="I90" i="4"/>
  <c r="I246" i="4"/>
  <c r="J135" i="4"/>
  <c r="L139" i="4"/>
  <c r="L99" i="4"/>
  <c r="J276" i="4"/>
  <c r="J126" i="4"/>
  <c r="J181" i="4"/>
  <c r="K360" i="4"/>
  <c r="I262" i="4"/>
  <c r="K133" i="4"/>
  <c r="I223" i="4"/>
  <c r="I313" i="4"/>
  <c r="K288" i="4"/>
  <c r="L353" i="4"/>
  <c r="K223" i="4"/>
  <c r="K199" i="4"/>
  <c r="I165" i="4"/>
  <c r="K228" i="4"/>
  <c r="J298" i="4"/>
  <c r="J123" i="4"/>
  <c r="I66" i="4"/>
  <c r="I168" i="4"/>
  <c r="J149" i="4"/>
  <c r="J200" i="4"/>
  <c r="I299" i="4"/>
  <c r="L307" i="4"/>
  <c r="K179" i="4"/>
  <c r="L235" i="4"/>
  <c r="K220" i="4"/>
  <c r="L317" i="4"/>
  <c r="I346" i="4"/>
  <c r="M356" i="4"/>
  <c r="M156" i="4"/>
  <c r="J137" i="4"/>
  <c r="K180" i="4"/>
  <c r="L197" i="4"/>
  <c r="I228" i="4"/>
  <c r="I351" i="4"/>
  <c r="J41" i="4"/>
  <c r="K130" i="4"/>
  <c r="L278" i="4"/>
  <c r="K212" i="4"/>
  <c r="M324" i="4"/>
  <c r="L327" i="4"/>
  <c r="I298" i="4"/>
  <c r="L280" i="4"/>
  <c r="L179" i="4"/>
  <c r="L142" i="4"/>
  <c r="K336" i="4"/>
  <c r="I196" i="4"/>
  <c r="M348" i="4"/>
  <c r="J247" i="4"/>
  <c r="K308" i="4"/>
  <c r="L316" i="4"/>
  <c r="J356" i="4"/>
  <c r="L129" i="4"/>
  <c r="I136" i="4"/>
  <c r="K281" i="4"/>
  <c r="I341" i="4"/>
  <c r="L223" i="4"/>
  <c r="I150" i="4"/>
  <c r="M259" i="4"/>
  <c r="M194" i="4"/>
  <c r="M338" i="4"/>
  <c r="I277" i="4"/>
  <c r="I339" i="4"/>
  <c r="K363" i="4"/>
  <c r="J166" i="4"/>
  <c r="J148" i="4"/>
  <c r="M246" i="4"/>
  <c r="J156" i="4"/>
  <c r="K114" i="4"/>
  <c r="I60" i="4"/>
  <c r="M271" i="4"/>
  <c r="L318" i="4"/>
  <c r="M104" i="4"/>
  <c r="K352" i="4"/>
  <c r="J220" i="4"/>
  <c r="K66" i="4"/>
  <c r="J267" i="4"/>
  <c r="I267" i="4"/>
  <c r="M311" i="4"/>
  <c r="J324" i="4"/>
  <c r="I74" i="4"/>
  <c r="J216" i="4"/>
  <c r="I218" i="4"/>
  <c r="J319" i="4"/>
  <c r="M196" i="4"/>
  <c r="J173" i="4"/>
  <c r="K229" i="4"/>
  <c r="K351" i="4"/>
  <c r="J256" i="4"/>
  <c r="M365" i="4"/>
  <c r="J344" i="4"/>
  <c r="L304" i="4"/>
  <c r="M347" i="4"/>
  <c r="J237" i="4"/>
  <c r="L229" i="4"/>
  <c r="I334" i="4"/>
  <c r="M276" i="4"/>
  <c r="K143" i="4"/>
  <c r="M304" i="4"/>
  <c r="K292" i="4"/>
  <c r="J352" i="4"/>
  <c r="K315" i="4"/>
  <c r="L293" i="4"/>
  <c r="K301" i="4"/>
  <c r="I355" i="4"/>
  <c r="I193" i="4"/>
  <c r="K265" i="4"/>
  <c r="L360" i="4"/>
  <c r="J302" i="4"/>
  <c r="K267" i="4"/>
  <c r="J161" i="4"/>
  <c r="M284" i="4"/>
  <c r="M335" i="4"/>
  <c r="L226" i="4"/>
  <c r="I329" i="4"/>
  <c r="K104" i="4"/>
  <c r="J164" i="4"/>
  <c r="I263" i="4"/>
  <c r="K300" i="4"/>
  <c r="J254" i="4"/>
  <c r="K359" i="4"/>
  <c r="L343" i="4"/>
  <c r="J322" i="4"/>
  <c r="J269" i="4"/>
  <c r="L309" i="4"/>
  <c r="M152" i="4"/>
  <c r="J11" i="4"/>
  <c r="I241" i="4"/>
  <c r="L89" i="4"/>
  <c r="L61" i="4"/>
  <c r="I84" i="4"/>
  <c r="I163" i="4"/>
  <c r="I86" i="4"/>
  <c r="K156" i="4"/>
  <c r="L173" i="4"/>
  <c r="K269" i="4"/>
  <c r="L248" i="4"/>
  <c r="I279" i="4"/>
  <c r="J212" i="4"/>
  <c r="J184" i="4"/>
  <c r="I238" i="4"/>
  <c r="I311" i="4"/>
  <c r="J270" i="4"/>
  <c r="M171" i="4"/>
  <c r="L84" i="4"/>
  <c r="M277" i="4"/>
  <c r="L321" i="4"/>
  <c r="M226" i="4"/>
  <c r="J92" i="4"/>
  <c r="J36" i="4"/>
  <c r="M229" i="4"/>
  <c r="I270" i="4"/>
  <c r="K344" i="4"/>
  <c r="L340" i="4"/>
  <c r="I130" i="4"/>
  <c r="I285" i="4"/>
  <c r="M344" i="4"/>
  <c r="M325" i="4"/>
  <c r="M218" i="4"/>
  <c r="J188" i="4"/>
  <c r="K57" i="4"/>
  <c r="M222" i="4"/>
  <c r="K264" i="4"/>
  <c r="I201" i="4"/>
  <c r="J286" i="4"/>
  <c r="M162" i="4"/>
  <c r="L240" i="4"/>
  <c r="I155" i="4"/>
  <c r="I210" i="4"/>
  <c r="J15" i="4"/>
  <c r="M254" i="4"/>
  <c r="M197" i="4"/>
  <c r="J258" i="4"/>
  <c r="M355" i="4"/>
  <c r="I140" i="4"/>
  <c r="I336" i="4"/>
  <c r="J119" i="4"/>
  <c r="J280" i="4"/>
  <c r="M358" i="4"/>
  <c r="I206" i="4"/>
  <c r="I326" i="4"/>
  <c r="K85" i="4"/>
  <c r="L241" i="4"/>
  <c r="M289" i="4"/>
  <c r="M290" i="4"/>
  <c r="L21" i="4"/>
  <c r="M343" i="4"/>
  <c r="I337" i="4"/>
  <c r="J153" i="4"/>
  <c r="K290" i="4"/>
  <c r="J289" i="4"/>
  <c r="L341" i="4"/>
  <c r="K159" i="4"/>
  <c r="M307" i="4"/>
  <c r="I293" i="4"/>
  <c r="L276" i="4"/>
  <c r="K243" i="4"/>
  <c r="I308" i="4"/>
  <c r="J299" i="4"/>
  <c r="L286" i="4"/>
  <c r="L288" i="4"/>
  <c r="K366" i="4"/>
  <c r="J338" i="4"/>
  <c r="K355" i="4"/>
  <c r="J231" i="4"/>
  <c r="I280" i="4"/>
  <c r="K312" i="4"/>
  <c r="M333" i="4"/>
  <c r="M308" i="4"/>
  <c r="J221" i="4"/>
  <c r="M345" i="4"/>
  <c r="I269" i="4"/>
  <c r="L269" i="4"/>
  <c r="L237" i="4"/>
  <c r="M209" i="4"/>
  <c r="M248" i="4"/>
  <c r="L300" i="4"/>
  <c r="L356" i="4"/>
  <c r="L346" i="4"/>
  <c r="M32" i="4"/>
  <c r="M5" i="4" s="1"/>
  <c r="M4" i="3" s="1"/>
  <c r="K176" i="4"/>
  <c r="J339" i="4"/>
  <c r="L270" i="4"/>
  <c r="J358" i="4"/>
  <c r="J248" i="4"/>
  <c r="M8" i="4"/>
  <c r="J263" i="4"/>
  <c r="L351" i="4"/>
  <c r="M332" i="4"/>
  <c r="J205" i="4"/>
  <c r="K325" i="4"/>
  <c r="J351" i="4"/>
  <c r="J332" i="4"/>
  <c r="K192" i="4"/>
  <c r="L183" i="4"/>
  <c r="M322" i="4"/>
  <c r="I214" i="4"/>
  <c r="J98" i="4"/>
  <c r="J295" i="4"/>
  <c r="K246" i="4"/>
  <c r="J364" i="4"/>
  <c r="L147" i="4"/>
  <c r="I260" i="4"/>
  <c r="J234" i="4"/>
  <c r="M298" i="4"/>
  <c r="L328" i="4"/>
  <c r="I314" i="4"/>
  <c r="K214" i="4"/>
  <c r="I235" i="4"/>
  <c r="I261" i="4"/>
  <c r="L355" i="4"/>
  <c r="K329" i="4"/>
  <c r="K210" i="4"/>
  <c r="K238" i="4"/>
  <c r="L273" i="4"/>
  <c r="K332" i="4"/>
  <c r="I315" i="4"/>
  <c r="I105" i="4"/>
  <c r="K119" i="4"/>
  <c r="M217" i="4"/>
  <c r="K73" i="4"/>
  <c r="I115" i="4"/>
  <c r="J77" i="4"/>
  <c r="K263" i="4"/>
  <c r="J27" i="4"/>
  <c r="L347" i="4"/>
  <c r="I68" i="4"/>
  <c r="J300" i="4"/>
  <c r="I320" i="4"/>
  <c r="J176" i="4"/>
  <c r="K128" i="4"/>
  <c r="L277" i="4"/>
  <c r="L177" i="4"/>
  <c r="I116" i="4"/>
  <c r="I231" i="4"/>
  <c r="L150" i="4"/>
  <c r="J349" i="4"/>
  <c r="J329" i="4"/>
  <c r="L113" i="4"/>
  <c r="L93" i="4"/>
  <c r="M360" i="4"/>
  <c r="J334" i="4"/>
  <c r="K186" i="4"/>
  <c r="K195" i="4"/>
  <c r="I268" i="4"/>
  <c r="I366" i="4"/>
  <c r="M138" i="4"/>
  <c r="J290" i="4"/>
  <c r="I198" i="4"/>
  <c r="J294" i="4"/>
  <c r="L361" i="4"/>
  <c r="M247" i="4"/>
  <c r="M296" i="4"/>
  <c r="K331" i="4"/>
  <c r="M272" i="4"/>
  <c r="K273" i="4"/>
  <c r="L25" i="4"/>
  <c r="M320" i="4"/>
  <c r="K350" i="4"/>
  <c r="L236" i="4"/>
  <c r="K240" i="4"/>
  <c r="M165" i="4"/>
  <c r="M230" i="4"/>
  <c r="J283" i="4"/>
  <c r="L324" i="4"/>
  <c r="J312" i="4"/>
  <c r="L354" i="4"/>
  <c r="K319" i="4"/>
  <c r="J266" i="4"/>
  <c r="L143" i="4"/>
  <c r="I244" i="4"/>
  <c r="K160" i="4"/>
  <c r="J317" i="4"/>
  <c r="I271" i="4"/>
  <c r="J169" i="4"/>
  <c r="J264" i="4"/>
  <c r="K274" i="4"/>
  <c r="J347" i="4"/>
  <c r="I335" i="4"/>
  <c r="M329" i="4"/>
  <c r="I362" i="4"/>
  <c r="M341" i="4"/>
  <c r="L334" i="4"/>
  <c r="M354" i="4"/>
  <c r="L292" i="4"/>
  <c r="K282" i="4"/>
  <c r="J301" i="4"/>
  <c r="L44" i="4"/>
  <c r="K122" i="4"/>
  <c r="L266" i="4"/>
  <c r="M144" i="4"/>
  <c r="J130" i="4"/>
  <c r="M130" i="4"/>
  <c r="K185" i="4"/>
  <c r="L72" i="4"/>
  <c r="K286" i="4"/>
  <c r="M20" i="4"/>
  <c r="J95" i="4"/>
  <c r="M91" i="4"/>
  <c r="M29" i="4"/>
  <c r="I229" i="4"/>
  <c r="M204" i="4"/>
  <c r="M250" i="4"/>
  <c r="J325" i="4"/>
  <c r="J293" i="4"/>
  <c r="I211" i="4"/>
  <c r="K153" i="4"/>
  <c r="L290" i="4"/>
  <c r="M364" i="4"/>
  <c r="I288" i="4"/>
  <c r="K76" i="4"/>
  <c r="L9" i="4"/>
  <c r="L242" i="4"/>
  <c r="M282" i="4"/>
  <c r="J357" i="4"/>
  <c r="M363" i="4"/>
  <c r="K177" i="4"/>
  <c r="M297" i="4"/>
  <c r="L186" i="4"/>
  <c r="J203" i="4"/>
  <c r="K272" i="4"/>
  <c r="I251" i="4"/>
  <c r="M18" i="4"/>
  <c r="I237" i="4"/>
  <c r="J277" i="4"/>
  <c r="L284" i="4"/>
  <c r="K365" i="4"/>
  <c r="M268" i="4"/>
  <c r="M357" i="4"/>
  <c r="J198" i="4"/>
  <c r="J227" i="4"/>
  <c r="K106" i="4"/>
  <c r="L267" i="4"/>
  <c r="I142" i="4"/>
  <c r="K222" i="4"/>
  <c r="L254" i="4"/>
  <c r="M303" i="4"/>
  <c r="I317" i="4"/>
  <c r="M216" i="4"/>
  <c r="I185" i="4"/>
  <c r="K230" i="4"/>
  <c r="M262" i="4"/>
  <c r="M342" i="4"/>
  <c r="L178" i="4"/>
  <c r="J323" i="4"/>
  <c r="J141" i="4"/>
  <c r="J313" i="4"/>
  <c r="M275" i="4"/>
  <c r="J185" i="4"/>
  <c r="M305" i="4"/>
  <c r="L349" i="4"/>
  <c r="I292" i="4"/>
  <c r="M83" i="4"/>
  <c r="M236" i="4"/>
  <c r="M287" i="4"/>
  <c r="J361" i="4"/>
  <c r="K245" i="4"/>
  <c r="K357" i="4"/>
  <c r="L294" i="4"/>
  <c r="I76" i="4"/>
  <c r="J337" i="4"/>
  <c r="M132" i="4"/>
  <c r="I312" i="4"/>
  <c r="M243" i="4"/>
  <c r="I367" i="4"/>
  <c r="K251" i="4"/>
  <c r="K266" i="4"/>
  <c r="K334" i="4"/>
  <c r="J330" i="4"/>
  <c r="I361" i="4"/>
  <c r="J353" i="4"/>
  <c r="J303" i="4"/>
  <c r="M294" i="4"/>
  <c r="I258" i="4"/>
  <c r="J201" i="4"/>
  <c r="I212" i="4"/>
  <c r="L272" i="4"/>
  <c r="M326" i="4"/>
  <c r="K206" i="4"/>
  <c r="K233" i="4"/>
  <c r="J310" i="4"/>
  <c r="I192" i="4"/>
  <c r="J245" i="4"/>
  <c r="J362" i="4"/>
  <c r="J250" i="4"/>
  <c r="J306" i="4"/>
  <c r="K299" i="4"/>
  <c r="J204" i="4"/>
  <c r="I295" i="4"/>
  <c r="J342" i="4"/>
  <c r="L133" i="4"/>
  <c r="J246" i="4"/>
  <c r="I343" i="4"/>
  <c r="M235" i="4"/>
  <c r="L330" i="4"/>
  <c r="J253" i="4"/>
  <c r="M240" i="4"/>
  <c r="L339" i="4"/>
  <c r="L296" i="4"/>
  <c r="M181" i="4"/>
  <c r="K317" i="4"/>
  <c r="I328" i="4"/>
  <c r="L362" i="4"/>
  <c r="L243" i="4"/>
  <c r="L323" i="4"/>
  <c r="L211" i="4"/>
  <c r="M310" i="4"/>
  <c r="L333" i="4"/>
  <c r="L366" i="4"/>
  <c r="L199" i="4"/>
  <c r="M170" i="4"/>
  <c r="I250" i="4"/>
  <c r="K293" i="4"/>
  <c r="K309" i="4"/>
  <c r="K82" i="4"/>
  <c r="L225" i="4"/>
  <c r="I325" i="4"/>
  <c r="J47" i="4"/>
  <c r="I345" i="4"/>
  <c r="I71" i="4"/>
  <c r="L155" i="4"/>
  <c r="J249" i="4"/>
  <c r="M187" i="4"/>
  <c r="L210" i="4"/>
  <c r="J359" i="4"/>
  <c r="K211" i="4"/>
  <c r="J281" i="4"/>
  <c r="L137" i="4"/>
  <c r="L151" i="4"/>
  <c r="K339" i="4"/>
  <c r="I221" i="4"/>
  <c r="I275" i="4"/>
  <c r="M314" i="4"/>
  <c r="K125" i="4"/>
  <c r="J145" i="4"/>
  <c r="M17" i="4"/>
  <c r="M265" i="4"/>
  <c r="L257" i="4"/>
  <c r="J343" i="4"/>
  <c r="I309" i="4"/>
  <c r="M154" i="4"/>
  <c r="L268" i="4"/>
  <c r="L233" i="4"/>
  <c r="J348" i="4"/>
  <c r="J365" i="4"/>
  <c r="I247" i="4"/>
  <c r="K313" i="4"/>
  <c r="L104" i="4"/>
  <c r="I321" i="4"/>
  <c r="M302" i="4"/>
  <c r="L283" i="4"/>
  <c r="K167" i="4"/>
  <c r="K364" i="4"/>
  <c r="I200" i="4"/>
  <c r="L335" i="4"/>
  <c r="L312" i="4"/>
  <c r="I169" i="4"/>
  <c r="M291" i="4"/>
  <c r="K183" i="4"/>
  <c r="K358" i="4"/>
  <c r="K330" i="4"/>
  <c r="J197" i="4"/>
  <c r="L285" i="4"/>
  <c r="M214" i="4"/>
  <c r="K148" i="4"/>
  <c r="K172" i="4"/>
  <c r="M279" i="4"/>
  <c r="M337" i="4"/>
  <c r="J243" i="4"/>
  <c r="K356" i="4"/>
  <c r="J230" i="4"/>
  <c r="L154" i="4"/>
  <c r="J125" i="4"/>
  <c r="I291" i="4"/>
  <c r="I349" i="4"/>
  <c r="M71" i="4"/>
  <c r="I174" i="4"/>
  <c r="M353" i="4"/>
  <c r="M239" i="4"/>
  <c r="J354" i="4"/>
  <c r="S8" i="4"/>
  <c r="T8" i="4" s="1"/>
  <c r="V8" i="4" s="1"/>
  <c r="P9" i="4" s="1"/>
  <c r="S9" i="4" s="1"/>
  <c r="O16" i="4"/>
  <c r="Q16" i="4" s="1"/>
  <c r="O17" i="4" l="1"/>
  <c r="Q17" i="4" s="1"/>
  <c r="R9" i="4"/>
  <c r="T9" i="4" s="1"/>
  <c r="U8" i="4"/>
  <c r="V9" i="4" l="1"/>
  <c r="P10" i="4" s="1"/>
  <c r="O18" i="4"/>
  <c r="Q18" i="4" s="1"/>
  <c r="S10" i="4" l="1"/>
  <c r="R10" i="4"/>
  <c r="U9" i="4"/>
  <c r="O19" i="4"/>
  <c r="Q19" i="4" s="1"/>
  <c r="T10" i="4" l="1"/>
  <c r="U10" i="4" s="1"/>
  <c r="O20" i="4"/>
  <c r="Q20" i="4" s="1"/>
  <c r="V10" i="4" l="1"/>
  <c r="P11" i="4" s="1"/>
  <c r="O21" i="4"/>
  <c r="Q21" i="4" s="1"/>
  <c r="S11" i="4" l="1"/>
  <c r="R11" i="4"/>
  <c r="O22" i="4"/>
  <c r="Q22" i="4" s="1"/>
  <c r="T11" i="4" l="1"/>
  <c r="V11" i="4" s="1"/>
  <c r="P12" i="4" s="1"/>
  <c r="O23" i="4"/>
  <c r="Q23" i="4" s="1"/>
  <c r="S12" i="4" l="1"/>
  <c r="R12" i="4"/>
  <c r="U11" i="4"/>
  <c r="O24" i="4"/>
  <c r="Q24" i="4" s="1"/>
  <c r="T12" i="4" l="1"/>
  <c r="V12" i="4" s="1"/>
  <c r="P13" i="4" s="1"/>
  <c r="O25" i="4"/>
  <c r="Q25" i="4" s="1"/>
  <c r="S13" i="4" l="1"/>
  <c r="R13" i="4"/>
  <c r="U12" i="4"/>
  <c r="O26" i="4"/>
  <c r="Q26" i="4" s="1"/>
  <c r="T13" i="4" l="1"/>
  <c r="U13" i="4" s="1"/>
  <c r="O27" i="4"/>
  <c r="Q27" i="4" s="1"/>
  <c r="V13" i="4" l="1"/>
  <c r="P14" i="4" s="1"/>
  <c r="R14" i="4" s="1"/>
  <c r="O28" i="4"/>
  <c r="Q28" i="4" s="1"/>
  <c r="S14" i="4" l="1"/>
  <c r="T14" i="4" s="1"/>
  <c r="V14" i="4" s="1"/>
  <c r="P15" i="4" s="1"/>
  <c r="O29" i="4"/>
  <c r="Q29" i="4" s="1"/>
  <c r="S15" i="4" l="1"/>
  <c r="R15" i="4"/>
  <c r="U14" i="4"/>
  <c r="O30" i="4"/>
  <c r="Q30" i="4" s="1"/>
  <c r="T15" i="4" l="1"/>
  <c r="V15" i="4" s="1"/>
  <c r="P16" i="4" s="1"/>
  <c r="O31" i="4"/>
  <c r="Q31" i="4" s="1"/>
  <c r="U15" i="4" l="1"/>
  <c r="S16" i="4"/>
  <c r="R16" i="4"/>
  <c r="O32" i="4"/>
  <c r="Q32" i="4" s="1"/>
  <c r="T16" i="4" l="1"/>
  <c r="V16" i="4" s="1"/>
  <c r="P17" i="4" s="1"/>
  <c r="O33" i="4"/>
  <c r="S17" i="4" l="1"/>
  <c r="R17" i="4"/>
  <c r="U16" i="4"/>
  <c r="O34" i="4"/>
  <c r="Q34" i="4" s="1"/>
  <c r="T17" i="4" l="1"/>
  <c r="V17" i="4" s="1"/>
  <c r="P18" i="4" s="1"/>
  <c r="O35" i="4"/>
  <c r="Q35" i="4" s="1"/>
  <c r="U17" i="4" l="1"/>
  <c r="S18" i="4"/>
  <c r="R18" i="4"/>
  <c r="O36" i="4"/>
  <c r="Q36" i="4" s="1"/>
  <c r="T18" i="4" l="1"/>
  <c r="V18" i="4" s="1"/>
  <c r="P19" i="4" s="1"/>
  <c r="S19" i="4" s="1"/>
  <c r="O37" i="4"/>
  <c r="Q37" i="4" s="1"/>
  <c r="U18" i="4" l="1"/>
  <c r="R19" i="4"/>
  <c r="T19" i="4" s="1"/>
  <c r="O38" i="4"/>
  <c r="Q38" i="4" s="1"/>
  <c r="V19" i="4" l="1"/>
  <c r="P20" i="4" s="1"/>
  <c r="S20" i="4" s="1"/>
  <c r="O39" i="4"/>
  <c r="Q39" i="4" s="1"/>
  <c r="U19" i="4" l="1"/>
  <c r="R20" i="4"/>
  <c r="T20" i="4" s="1"/>
  <c r="O40" i="4"/>
  <c r="Q40" i="4" s="1"/>
  <c r="V20" i="4" l="1"/>
  <c r="P21" i="4" s="1"/>
  <c r="U20" i="4"/>
  <c r="O41" i="4"/>
  <c r="Q41" i="4" s="1"/>
  <c r="S21" i="4" l="1"/>
  <c r="R21" i="4"/>
  <c r="O42" i="4"/>
  <c r="Q42" i="4" s="1"/>
  <c r="T21" i="4" l="1"/>
  <c r="U21" i="4" s="1"/>
  <c r="O43" i="4"/>
  <c r="Q43" i="4" s="1"/>
  <c r="V21" i="4" l="1"/>
  <c r="P22" i="4" s="1"/>
  <c r="S22" i="4" s="1"/>
  <c r="O44" i="4"/>
  <c r="Q44" i="4" s="1"/>
  <c r="R22" i="4" l="1"/>
  <c r="T22" i="4" s="1"/>
  <c r="V22" i="4" s="1"/>
  <c r="P23" i="4" s="1"/>
  <c r="O45" i="4"/>
  <c r="Q45" i="4" s="1"/>
  <c r="S23" i="4" l="1"/>
  <c r="R23" i="4"/>
  <c r="U22" i="4"/>
  <c r="O46" i="4"/>
  <c r="Q46" i="4" s="1"/>
  <c r="T23" i="4" l="1"/>
  <c r="V23" i="4" s="1"/>
  <c r="P24" i="4" s="1"/>
  <c r="O47" i="4"/>
  <c r="Q47" i="4" s="1"/>
  <c r="U23" i="4" l="1"/>
  <c r="S24" i="4"/>
  <c r="R24" i="4"/>
  <c r="O48" i="4"/>
  <c r="Q48" i="4" s="1"/>
  <c r="T24" i="4" l="1"/>
  <c r="V24" i="4" s="1"/>
  <c r="P25" i="4" s="1"/>
  <c r="O49" i="4"/>
  <c r="Q49" i="4" s="1"/>
  <c r="S25" i="4" l="1"/>
  <c r="R25" i="4"/>
  <c r="U24" i="4"/>
  <c r="O50" i="4"/>
  <c r="Q50" i="4" s="1"/>
  <c r="T25" i="4" l="1"/>
  <c r="V25" i="4" s="1"/>
  <c r="P26" i="4" s="1"/>
  <c r="O51" i="4"/>
  <c r="Q51" i="4" s="1"/>
  <c r="U25" i="4" l="1"/>
  <c r="S26" i="4"/>
  <c r="R26" i="4"/>
  <c r="O52" i="4"/>
  <c r="Q52" i="4" s="1"/>
  <c r="T26" i="4" l="1"/>
  <c r="V26" i="4" s="1"/>
  <c r="P27" i="4" s="1"/>
  <c r="O53" i="4"/>
  <c r="Q53" i="4" s="1"/>
  <c r="S27" i="4" l="1"/>
  <c r="R27" i="4"/>
  <c r="U26" i="4"/>
  <c r="O54" i="4"/>
  <c r="Q54" i="4" s="1"/>
  <c r="T27" i="4" l="1"/>
  <c r="V27" i="4" s="1"/>
  <c r="P28" i="4" s="1"/>
  <c r="S28" i="4" s="1"/>
  <c r="O55" i="4"/>
  <c r="Q55" i="4" s="1"/>
  <c r="R28" i="4" l="1"/>
  <c r="T28" i="4" s="1"/>
  <c r="U27" i="4"/>
  <c r="O56" i="4"/>
  <c r="Q56" i="4" s="1"/>
  <c r="V28" i="4" l="1"/>
  <c r="P29" i="4" s="1"/>
  <c r="S29" i="4" s="1"/>
  <c r="O57" i="4"/>
  <c r="Q57" i="4" s="1"/>
  <c r="U28" i="4" l="1"/>
  <c r="R29" i="4"/>
  <c r="T29" i="4" s="1"/>
  <c r="O58" i="4"/>
  <c r="Q58" i="4" s="1"/>
  <c r="V29" i="4" l="1"/>
  <c r="P30" i="4" s="1"/>
  <c r="S30" i="4" s="1"/>
  <c r="O59" i="4"/>
  <c r="Q59" i="4" s="1"/>
  <c r="U29" i="4" l="1"/>
  <c r="R30" i="4"/>
  <c r="T30" i="4" s="1"/>
  <c r="O60" i="4"/>
  <c r="Q60" i="4" s="1"/>
  <c r="V30" i="4" l="1"/>
  <c r="P31" i="4" s="1"/>
  <c r="O61" i="4"/>
  <c r="Q61" i="4" s="1"/>
  <c r="U30" i="4" l="1"/>
  <c r="S31" i="4"/>
  <c r="R31" i="4"/>
  <c r="O62" i="4"/>
  <c r="Q62" i="4" s="1"/>
  <c r="T31" i="4" l="1"/>
  <c r="V31" i="4" s="1"/>
  <c r="P32" i="4" s="1"/>
  <c r="O63" i="4"/>
  <c r="Q63" i="4" s="1"/>
  <c r="S32" i="4" l="1"/>
  <c r="R32" i="4"/>
  <c r="U31" i="4"/>
  <c r="O64" i="4"/>
  <c r="Q64" i="4" s="1"/>
  <c r="T32" i="4" l="1"/>
  <c r="V32" i="4" s="1"/>
  <c r="O65" i="4"/>
  <c r="Q65" i="4" s="1"/>
  <c r="P33" i="4" l="1"/>
  <c r="U32" i="4"/>
  <c r="O66" i="4"/>
  <c r="Q66" i="4" s="1"/>
  <c r="R33" i="4" l="1"/>
  <c r="S33" i="4"/>
  <c r="T33" i="4" s="1"/>
  <c r="V33" i="4" s="1"/>
  <c r="P34" i="4" s="1"/>
  <c r="O67" i="4"/>
  <c r="Q67" i="4" s="1"/>
  <c r="S34" i="4" l="1"/>
  <c r="R34" i="4"/>
  <c r="U33" i="4"/>
  <c r="O68" i="4"/>
  <c r="Q68" i="4" s="1"/>
  <c r="T34" i="4" l="1"/>
  <c r="V34" i="4" s="1"/>
  <c r="P35" i="4" s="1"/>
  <c r="O69" i="4"/>
  <c r="Q69" i="4" s="1"/>
  <c r="U34" i="4" l="1"/>
  <c r="S35" i="4"/>
  <c r="R35" i="4"/>
  <c r="O70" i="4"/>
  <c r="Q70" i="4" s="1"/>
  <c r="T35" i="4" l="1"/>
  <c r="V35" i="4" s="1"/>
  <c r="P36" i="4" s="1"/>
  <c r="O71" i="4"/>
  <c r="Q71" i="4" s="1"/>
  <c r="S36" i="4" l="1"/>
  <c r="R36" i="4"/>
  <c r="U35" i="4"/>
  <c r="O72" i="4"/>
  <c r="Q72" i="4" s="1"/>
  <c r="T36" i="4" l="1"/>
  <c r="V36" i="4" s="1"/>
  <c r="P37" i="4" s="1"/>
  <c r="O73" i="4"/>
  <c r="Q73" i="4" s="1"/>
  <c r="U36" i="4" l="1"/>
  <c r="S37" i="4"/>
  <c r="R37" i="4"/>
  <c r="O74" i="4"/>
  <c r="Q74" i="4" s="1"/>
  <c r="T37" i="4" l="1"/>
  <c r="V37" i="4" s="1"/>
  <c r="O75" i="4"/>
  <c r="Q75" i="4" s="1"/>
  <c r="P38" i="4" l="1"/>
  <c r="S38" i="4" s="1"/>
  <c r="U37" i="4"/>
  <c r="O76" i="4"/>
  <c r="Q76" i="4" s="1"/>
  <c r="R38" i="4" l="1"/>
  <c r="T38" i="4" s="1"/>
  <c r="V38" i="4" s="1"/>
  <c r="P39" i="4" s="1"/>
  <c r="S39" i="4" s="1"/>
  <c r="O77" i="4"/>
  <c r="Q77" i="4" s="1"/>
  <c r="R39" i="4" l="1"/>
  <c r="T39" i="4" s="1"/>
  <c r="U38" i="4"/>
  <c r="O78" i="4"/>
  <c r="Q78" i="4" s="1"/>
  <c r="V39" i="4" l="1"/>
  <c r="P40" i="4" s="1"/>
  <c r="S40" i="4" s="1"/>
  <c r="O79" i="4"/>
  <c r="Q79" i="4" s="1"/>
  <c r="U39" i="4" l="1"/>
  <c r="R40" i="4"/>
  <c r="T40" i="4" s="1"/>
  <c r="O80" i="4"/>
  <c r="Q80" i="4" s="1"/>
  <c r="V40" i="4" l="1"/>
  <c r="P41" i="4" s="1"/>
  <c r="U40" i="4"/>
  <c r="O81" i="4"/>
  <c r="Q81" i="4" s="1"/>
  <c r="S41" i="4" l="1"/>
  <c r="R41" i="4"/>
  <c r="O82" i="4"/>
  <c r="Q82" i="4" s="1"/>
  <c r="T41" i="4" l="1"/>
  <c r="V41" i="4" s="1"/>
  <c r="P42" i="4" s="1"/>
  <c r="S42" i="4" s="1"/>
  <c r="O83" i="4"/>
  <c r="Q83" i="4" s="1"/>
  <c r="R42" i="4" l="1"/>
  <c r="T42" i="4" s="1"/>
  <c r="U41" i="4"/>
  <c r="O84" i="4"/>
  <c r="Q84" i="4" s="1"/>
  <c r="V42" i="4" l="1"/>
  <c r="P43" i="4" s="1"/>
  <c r="O85" i="4"/>
  <c r="Q85" i="4" s="1"/>
  <c r="U42" i="4" l="1"/>
  <c r="S43" i="4"/>
  <c r="R43" i="4"/>
  <c r="O86" i="4"/>
  <c r="Q86" i="4" s="1"/>
  <c r="T43" i="4" l="1"/>
  <c r="V43" i="4" s="1"/>
  <c r="P44" i="4" s="1"/>
  <c r="O87" i="4"/>
  <c r="Q87" i="4" s="1"/>
  <c r="S44" i="4" l="1"/>
  <c r="R44" i="4"/>
  <c r="U43" i="4"/>
  <c r="O88" i="4"/>
  <c r="Q88" i="4" s="1"/>
  <c r="T44" i="4" l="1"/>
  <c r="V44" i="4" s="1"/>
  <c r="O89" i="4"/>
  <c r="Q89" i="4" s="1"/>
  <c r="P45" i="4" l="1"/>
  <c r="S45" i="4" s="1"/>
  <c r="V5" i="4"/>
  <c r="M5" i="3" s="1"/>
  <c r="U44" i="4"/>
  <c r="O90" i="4"/>
  <c r="Q90" i="4" s="1"/>
  <c r="R45" i="4" l="1"/>
  <c r="T45" i="4" s="1"/>
  <c r="V45" i="4" s="1"/>
  <c r="P46" i="4" s="1"/>
  <c r="S46" i="4" s="1"/>
  <c r="O91" i="4"/>
  <c r="Q91" i="4" s="1"/>
  <c r="U45" i="4" l="1"/>
  <c r="R46" i="4"/>
  <c r="T46" i="4" s="1"/>
  <c r="O92" i="4"/>
  <c r="Q92" i="4" s="1"/>
  <c r="V46" i="4" l="1"/>
  <c r="P47" i="4" s="1"/>
  <c r="O93" i="4"/>
  <c r="Q93" i="4" s="1"/>
  <c r="S47" i="4" l="1"/>
  <c r="R47" i="4"/>
  <c r="U46" i="4"/>
  <c r="O94" i="4"/>
  <c r="Q94" i="4" s="1"/>
  <c r="T47" i="4" l="1"/>
  <c r="V47" i="4" s="1"/>
  <c r="P48" i="4" s="1"/>
  <c r="O95" i="4"/>
  <c r="Q95" i="4" s="1"/>
  <c r="U47" i="4" l="1"/>
  <c r="S48" i="4"/>
  <c r="R48" i="4"/>
  <c r="O96" i="4"/>
  <c r="Q96" i="4" s="1"/>
  <c r="T48" i="4" l="1"/>
  <c r="V48" i="4" s="1"/>
  <c r="P49" i="4" s="1"/>
  <c r="S49" i="4" s="1"/>
  <c r="O97" i="4"/>
  <c r="Q97" i="4" s="1"/>
  <c r="U48" i="4" l="1"/>
  <c r="R49" i="4"/>
  <c r="T49" i="4" s="1"/>
  <c r="O98" i="4"/>
  <c r="Q98" i="4" s="1"/>
  <c r="V49" i="4" l="1"/>
  <c r="P50" i="4" s="1"/>
  <c r="S50" i="4" s="1"/>
  <c r="O99" i="4"/>
  <c r="Q99" i="4" s="1"/>
  <c r="R50" i="4" l="1"/>
  <c r="T50" i="4" s="1"/>
  <c r="U49" i="4"/>
  <c r="O100" i="4"/>
  <c r="Q100" i="4" s="1"/>
  <c r="V50" i="4" l="1"/>
  <c r="P51" i="4" s="1"/>
  <c r="S51" i="4" s="1"/>
  <c r="O101" i="4"/>
  <c r="Q101" i="4" s="1"/>
  <c r="R51" i="4" l="1"/>
  <c r="T51" i="4" s="1"/>
  <c r="U50" i="4"/>
  <c r="O102" i="4"/>
  <c r="Q102" i="4" s="1"/>
  <c r="V51" i="4" l="1"/>
  <c r="P52" i="4" s="1"/>
  <c r="O103" i="4"/>
  <c r="Q103" i="4" s="1"/>
  <c r="S52" i="4" l="1"/>
  <c r="R52" i="4"/>
  <c r="U51" i="4"/>
  <c r="O104" i="4"/>
  <c r="Q104" i="4" s="1"/>
  <c r="T52" i="4" l="1"/>
  <c r="V52" i="4" s="1"/>
  <c r="P53" i="4" s="1"/>
  <c r="O105" i="4"/>
  <c r="Q105" i="4" s="1"/>
  <c r="S53" i="4" l="1"/>
  <c r="R53" i="4"/>
  <c r="U52" i="4"/>
  <c r="O106" i="4"/>
  <c r="Q106" i="4" s="1"/>
  <c r="T53" i="4" l="1"/>
  <c r="V53" i="4" s="1"/>
  <c r="P54" i="4" s="1"/>
  <c r="O107" i="4"/>
  <c r="Q107" i="4" s="1"/>
  <c r="S54" i="4" l="1"/>
  <c r="R54" i="4"/>
  <c r="U53" i="4"/>
  <c r="O108" i="4"/>
  <c r="Q108" i="4" s="1"/>
  <c r="T54" i="4" l="1"/>
  <c r="V54" i="4" s="1"/>
  <c r="P55" i="4" s="1"/>
  <c r="O109" i="4"/>
  <c r="Q109" i="4" s="1"/>
  <c r="S55" i="4" l="1"/>
  <c r="R55" i="4"/>
  <c r="U54" i="4"/>
  <c r="O110" i="4"/>
  <c r="Q110" i="4" s="1"/>
  <c r="T55" i="4" l="1"/>
  <c r="V55" i="4" s="1"/>
  <c r="P56" i="4" s="1"/>
  <c r="O111" i="4"/>
  <c r="Q111" i="4" s="1"/>
  <c r="U55" i="4" l="1"/>
  <c r="S56" i="4"/>
  <c r="R56" i="4"/>
  <c r="O112" i="4"/>
  <c r="Q112" i="4" s="1"/>
  <c r="T56" i="4" l="1"/>
  <c r="V56" i="4" s="1"/>
  <c r="P57" i="4" s="1"/>
  <c r="O113" i="4"/>
  <c r="Q113" i="4" s="1"/>
  <c r="S57" i="4" l="1"/>
  <c r="R57" i="4"/>
  <c r="U56" i="4"/>
  <c r="O114" i="4"/>
  <c r="Q114" i="4" s="1"/>
  <c r="T57" i="4" l="1"/>
  <c r="V57" i="4" s="1"/>
  <c r="P58" i="4" s="1"/>
  <c r="O115" i="4"/>
  <c r="Q115" i="4" s="1"/>
  <c r="U57" i="4" l="1"/>
  <c r="S58" i="4"/>
  <c r="R58" i="4"/>
  <c r="O116" i="4"/>
  <c r="Q116" i="4" s="1"/>
  <c r="T58" i="4" l="1"/>
  <c r="V58" i="4" s="1"/>
  <c r="P59" i="4" s="1"/>
  <c r="O117" i="4"/>
  <c r="Q117" i="4" s="1"/>
  <c r="U58" i="4" l="1"/>
  <c r="S59" i="4"/>
  <c r="R59" i="4"/>
  <c r="O118" i="4"/>
  <c r="Q118" i="4" s="1"/>
  <c r="T59" i="4" l="1"/>
  <c r="V59" i="4" s="1"/>
  <c r="P60" i="4" s="1"/>
  <c r="O119" i="4"/>
  <c r="Q119" i="4" s="1"/>
  <c r="U59" i="4" l="1"/>
  <c r="S60" i="4"/>
  <c r="R60" i="4"/>
  <c r="O120" i="4"/>
  <c r="Q120" i="4" s="1"/>
  <c r="T60" i="4" l="1"/>
  <c r="V60" i="4" s="1"/>
  <c r="P61" i="4" s="1"/>
  <c r="O121" i="4"/>
  <c r="Q121" i="4" s="1"/>
  <c r="U60" i="4" l="1"/>
  <c r="S61" i="4"/>
  <c r="R61" i="4"/>
  <c r="O122" i="4"/>
  <c r="Q122" i="4" s="1"/>
  <c r="T61" i="4" l="1"/>
  <c r="V61" i="4" s="1"/>
  <c r="P62" i="4" s="1"/>
  <c r="S62" i="4" s="1"/>
  <c r="O123" i="4"/>
  <c r="Q123" i="4" s="1"/>
  <c r="U61" i="4" l="1"/>
  <c r="R62" i="4"/>
  <c r="T62" i="4" s="1"/>
  <c r="O124" i="4"/>
  <c r="Q124" i="4" s="1"/>
  <c r="V62" i="4" l="1"/>
  <c r="P63" i="4" s="1"/>
  <c r="S63" i="4" s="1"/>
  <c r="O125" i="4"/>
  <c r="Q125" i="4" s="1"/>
  <c r="U62" i="4" l="1"/>
  <c r="R63" i="4"/>
  <c r="T63" i="4" s="1"/>
  <c r="O126" i="4"/>
  <c r="Q126" i="4" s="1"/>
  <c r="V63" i="4" l="1"/>
  <c r="P64" i="4" s="1"/>
  <c r="S64" i="4" s="1"/>
  <c r="O127" i="4"/>
  <c r="Q127" i="4" s="1"/>
  <c r="R64" i="4" l="1"/>
  <c r="T64" i="4" s="1"/>
  <c r="U63" i="4"/>
  <c r="O128" i="4"/>
  <c r="Q128" i="4" s="1"/>
  <c r="V64" i="4" l="1"/>
  <c r="P65" i="4" s="1"/>
  <c r="S65" i="4" s="1"/>
  <c r="O129" i="4"/>
  <c r="Q129" i="4" s="1"/>
  <c r="U64" i="4" l="1"/>
  <c r="R65" i="4"/>
  <c r="T65" i="4" s="1"/>
  <c r="O130" i="4"/>
  <c r="Q130" i="4" s="1"/>
  <c r="V65" i="4" l="1"/>
  <c r="P66" i="4" s="1"/>
  <c r="U65" i="4"/>
  <c r="O131" i="4"/>
  <c r="Q131" i="4" s="1"/>
  <c r="S66" i="4" l="1"/>
  <c r="R66" i="4"/>
  <c r="O132" i="4"/>
  <c r="Q132" i="4" s="1"/>
  <c r="T66" i="4" l="1"/>
  <c r="V66" i="4" s="1"/>
  <c r="P67" i="4" s="1"/>
  <c r="O133" i="4"/>
  <c r="Q133" i="4" s="1"/>
  <c r="S67" i="4" l="1"/>
  <c r="R67" i="4"/>
  <c r="U66" i="4"/>
  <c r="O134" i="4"/>
  <c r="Q134" i="4" s="1"/>
  <c r="T67" i="4" l="1"/>
  <c r="V67" i="4" s="1"/>
  <c r="P68" i="4" s="1"/>
  <c r="O135" i="4"/>
  <c r="Q135" i="4" s="1"/>
  <c r="S68" i="4" l="1"/>
  <c r="R68" i="4"/>
  <c r="U67" i="4"/>
  <c r="O136" i="4"/>
  <c r="Q136" i="4" s="1"/>
  <c r="T68" i="4" l="1"/>
  <c r="U68" i="4" s="1"/>
  <c r="O137" i="4"/>
  <c r="Q137" i="4" s="1"/>
  <c r="V68" i="4" l="1"/>
  <c r="P69" i="4" s="1"/>
  <c r="S69" i="4" s="1"/>
  <c r="O138" i="4"/>
  <c r="Q138" i="4" s="1"/>
  <c r="R69" i="4" l="1"/>
  <c r="T69" i="4" s="1"/>
  <c r="O139" i="4"/>
  <c r="Q139" i="4" s="1"/>
  <c r="V69" i="4" l="1"/>
  <c r="P70" i="4" s="1"/>
  <c r="S70" i="4" s="1"/>
  <c r="O140" i="4"/>
  <c r="Q140" i="4" s="1"/>
  <c r="U69" i="4" l="1"/>
  <c r="R70" i="4"/>
  <c r="T70" i="4" s="1"/>
  <c r="O141" i="4"/>
  <c r="Q141" i="4" s="1"/>
  <c r="V70" i="4" l="1"/>
  <c r="P71" i="4" s="1"/>
  <c r="O142" i="4"/>
  <c r="Q142" i="4" s="1"/>
  <c r="U70" i="4" l="1"/>
  <c r="S71" i="4"/>
  <c r="R71" i="4"/>
  <c r="O143" i="4"/>
  <c r="Q143" i="4" s="1"/>
  <c r="T71" i="4" l="1"/>
  <c r="V71" i="4" s="1"/>
  <c r="P72" i="4" s="1"/>
  <c r="S72" i="4" s="1"/>
  <c r="O144" i="4"/>
  <c r="Q144" i="4" s="1"/>
  <c r="U71" i="4" l="1"/>
  <c r="R72" i="4"/>
  <c r="T72" i="4" s="1"/>
  <c r="O145" i="4"/>
  <c r="Q145" i="4" s="1"/>
  <c r="V72" i="4" l="1"/>
  <c r="P73" i="4" s="1"/>
  <c r="S73" i="4" s="1"/>
  <c r="O146" i="4"/>
  <c r="Q146" i="4" s="1"/>
  <c r="U72" i="4" l="1"/>
  <c r="R73" i="4"/>
  <c r="T73" i="4" s="1"/>
  <c r="O147" i="4"/>
  <c r="Q147" i="4" s="1"/>
  <c r="V73" i="4" l="1"/>
  <c r="P74" i="4" s="1"/>
  <c r="S74" i="4" s="1"/>
  <c r="O148" i="4"/>
  <c r="Q148" i="4" s="1"/>
  <c r="U73" i="4" l="1"/>
  <c r="R74" i="4"/>
  <c r="T74" i="4" s="1"/>
  <c r="O149" i="4"/>
  <c r="Q149" i="4" s="1"/>
  <c r="V74" i="4" l="1"/>
  <c r="P75" i="4" s="1"/>
  <c r="S75" i="4" s="1"/>
  <c r="O150" i="4"/>
  <c r="Q150" i="4" s="1"/>
  <c r="U74" i="4" l="1"/>
  <c r="R75" i="4"/>
  <c r="T75" i="4" s="1"/>
  <c r="O151" i="4"/>
  <c r="Q151" i="4" s="1"/>
  <c r="V75" i="4" l="1"/>
  <c r="P76" i="4" s="1"/>
  <c r="U75" i="4"/>
  <c r="O152" i="4"/>
  <c r="Q152" i="4" s="1"/>
  <c r="S76" i="4" l="1"/>
  <c r="R76" i="4"/>
  <c r="O153" i="4"/>
  <c r="Q153" i="4" s="1"/>
  <c r="T76" i="4" l="1"/>
  <c r="V76" i="4" s="1"/>
  <c r="P77" i="4" s="1"/>
  <c r="S77" i="4" s="1"/>
  <c r="O154" i="4"/>
  <c r="Q154" i="4" s="1"/>
  <c r="R77" i="4" l="1"/>
  <c r="T77" i="4" s="1"/>
  <c r="U76" i="4"/>
  <c r="O155" i="4"/>
  <c r="Q155" i="4" s="1"/>
  <c r="V77" i="4" l="1"/>
  <c r="P78" i="4" s="1"/>
  <c r="O156" i="4"/>
  <c r="Q156" i="4" s="1"/>
  <c r="U77" i="4" l="1"/>
  <c r="S78" i="4"/>
  <c r="R78" i="4"/>
  <c r="O157" i="4"/>
  <c r="Q157" i="4" s="1"/>
  <c r="T78" i="4" l="1"/>
  <c r="V78" i="4" s="1"/>
  <c r="P79" i="4" s="1"/>
  <c r="O158" i="4"/>
  <c r="Q158" i="4" s="1"/>
  <c r="S79" i="4" l="1"/>
  <c r="R79" i="4"/>
  <c r="U78" i="4"/>
  <c r="O159" i="4"/>
  <c r="Q159" i="4" s="1"/>
  <c r="T79" i="4" l="1"/>
  <c r="U79" i="4" s="1"/>
  <c r="O160" i="4"/>
  <c r="Q160" i="4" s="1"/>
  <c r="V79" i="4" l="1"/>
  <c r="P80" i="4" s="1"/>
  <c r="S80" i="4" s="1"/>
  <c r="O161" i="4"/>
  <c r="Q161" i="4" s="1"/>
  <c r="R80" i="4" l="1"/>
  <c r="T80" i="4" s="1"/>
  <c r="V80" i="4" s="1"/>
  <c r="P81" i="4" s="1"/>
  <c r="S81" i="4" s="1"/>
  <c r="O162" i="4"/>
  <c r="Q162" i="4" s="1"/>
  <c r="R81" i="4" l="1"/>
  <c r="T81" i="4" s="1"/>
  <c r="U80" i="4"/>
  <c r="O163" i="4"/>
  <c r="Q163" i="4" s="1"/>
  <c r="V81" i="4" l="1"/>
  <c r="P82" i="4" s="1"/>
  <c r="S82" i="4" s="1"/>
  <c r="O164" i="4"/>
  <c r="Q164" i="4" s="1"/>
  <c r="U81" i="4" l="1"/>
  <c r="R82" i="4"/>
  <c r="T82" i="4" s="1"/>
  <c r="O165" i="4"/>
  <c r="Q165" i="4" s="1"/>
  <c r="V82" i="4" l="1"/>
  <c r="P83" i="4" s="1"/>
  <c r="S83" i="4" s="1"/>
  <c r="O166" i="4"/>
  <c r="Q166" i="4" s="1"/>
  <c r="U82" i="4" l="1"/>
  <c r="R83" i="4"/>
  <c r="T83" i="4" s="1"/>
  <c r="O167" i="4"/>
  <c r="Q167" i="4" s="1"/>
  <c r="V83" i="4" l="1"/>
  <c r="P84" i="4" s="1"/>
  <c r="S84" i="4" s="1"/>
  <c r="O168" i="4"/>
  <c r="Q168" i="4" s="1"/>
  <c r="U83" i="4" l="1"/>
  <c r="R84" i="4"/>
  <c r="T84" i="4" s="1"/>
  <c r="O169" i="4"/>
  <c r="Q169" i="4" s="1"/>
  <c r="V84" i="4" l="1"/>
  <c r="P85" i="4" s="1"/>
  <c r="O170" i="4"/>
  <c r="Q170" i="4" s="1"/>
  <c r="U84" i="4" l="1"/>
  <c r="S85" i="4"/>
  <c r="R85" i="4"/>
  <c r="O171" i="4"/>
  <c r="Q171" i="4" s="1"/>
  <c r="T85" i="4" l="1"/>
  <c r="V85" i="4" s="1"/>
  <c r="P86" i="4" s="1"/>
  <c r="O172" i="4"/>
  <c r="Q172" i="4" s="1"/>
  <c r="S86" i="4" l="1"/>
  <c r="R86" i="4"/>
  <c r="U85" i="4"/>
  <c r="O173" i="4"/>
  <c r="Q173" i="4" s="1"/>
  <c r="T86" i="4" l="1"/>
  <c r="V86" i="4" s="1"/>
  <c r="P87" i="4" s="1"/>
  <c r="S87" i="4" s="1"/>
  <c r="O174" i="4"/>
  <c r="Q174" i="4" s="1"/>
  <c r="U86" i="4" l="1"/>
  <c r="R87" i="4"/>
  <c r="T87" i="4" s="1"/>
  <c r="O175" i="4"/>
  <c r="Q175" i="4" s="1"/>
  <c r="V87" i="4" l="1"/>
  <c r="P88" i="4" s="1"/>
  <c r="S88" i="4" s="1"/>
  <c r="O176" i="4"/>
  <c r="Q176" i="4" s="1"/>
  <c r="U87" i="4" l="1"/>
  <c r="R88" i="4"/>
  <c r="T88" i="4" s="1"/>
  <c r="O177" i="4"/>
  <c r="Q177" i="4" s="1"/>
  <c r="V88" i="4" l="1"/>
  <c r="P89" i="4" s="1"/>
  <c r="S89" i="4" s="1"/>
  <c r="O178" i="4"/>
  <c r="Q178" i="4" s="1"/>
  <c r="U88" i="4" l="1"/>
  <c r="R89" i="4"/>
  <c r="T89" i="4" s="1"/>
  <c r="O179" i="4"/>
  <c r="Q179" i="4" s="1"/>
  <c r="V89" i="4" l="1"/>
  <c r="P90" i="4" s="1"/>
  <c r="S90" i="4" s="1"/>
  <c r="O180" i="4"/>
  <c r="Q180" i="4" s="1"/>
  <c r="U89" i="4" l="1"/>
  <c r="R90" i="4"/>
  <c r="T90" i="4" s="1"/>
  <c r="O181" i="4"/>
  <c r="Q181" i="4" s="1"/>
  <c r="V90" i="4" l="1"/>
  <c r="P91" i="4" s="1"/>
  <c r="S91" i="4" s="1"/>
  <c r="O182" i="4"/>
  <c r="Q182" i="4" s="1"/>
  <c r="U90" i="4" l="1"/>
  <c r="R91" i="4"/>
  <c r="T91" i="4" s="1"/>
  <c r="O183" i="4"/>
  <c r="Q183" i="4" s="1"/>
  <c r="V91" i="4" l="1"/>
  <c r="P92" i="4" s="1"/>
  <c r="S92" i="4" s="1"/>
  <c r="O184" i="4"/>
  <c r="Q184" i="4" s="1"/>
  <c r="U91" i="4" l="1"/>
  <c r="R92" i="4"/>
  <c r="T92" i="4" s="1"/>
  <c r="O185" i="4"/>
  <c r="Q185" i="4" s="1"/>
  <c r="V92" i="4" l="1"/>
  <c r="P93" i="4" s="1"/>
  <c r="S93" i="4" s="1"/>
  <c r="O186" i="4"/>
  <c r="Q186" i="4" s="1"/>
  <c r="U92" i="4" l="1"/>
  <c r="R93" i="4"/>
  <c r="T93" i="4" s="1"/>
  <c r="O187" i="4"/>
  <c r="Q187" i="4" s="1"/>
  <c r="V93" i="4" l="1"/>
  <c r="P94" i="4" s="1"/>
  <c r="S94" i="4" s="1"/>
  <c r="O188" i="4"/>
  <c r="Q188" i="4" s="1"/>
  <c r="U93" i="4" l="1"/>
  <c r="R94" i="4"/>
  <c r="T94" i="4" s="1"/>
  <c r="O189" i="4"/>
  <c r="Q189" i="4" s="1"/>
  <c r="V94" i="4" l="1"/>
  <c r="P95" i="4" s="1"/>
  <c r="S95" i="4" s="1"/>
  <c r="O190" i="4"/>
  <c r="Q190" i="4" s="1"/>
  <c r="U94" i="4" l="1"/>
  <c r="R95" i="4"/>
  <c r="T95" i="4" s="1"/>
  <c r="O191" i="4"/>
  <c r="Q191" i="4" s="1"/>
  <c r="V95" i="4" l="1"/>
  <c r="P96" i="4" s="1"/>
  <c r="S96" i="4" s="1"/>
  <c r="O192" i="4"/>
  <c r="Q192" i="4" s="1"/>
  <c r="U95" i="4" l="1"/>
  <c r="R96" i="4"/>
  <c r="T96" i="4" s="1"/>
  <c r="O193" i="4"/>
  <c r="Q193" i="4" s="1"/>
  <c r="V96" i="4" l="1"/>
  <c r="P97" i="4" s="1"/>
  <c r="S97" i="4" s="1"/>
  <c r="O194" i="4"/>
  <c r="Q194" i="4" s="1"/>
  <c r="U96" i="4" l="1"/>
  <c r="R97" i="4"/>
  <c r="T97" i="4" s="1"/>
  <c r="O195" i="4"/>
  <c r="Q195" i="4" s="1"/>
  <c r="V97" i="4" l="1"/>
  <c r="P98" i="4" s="1"/>
  <c r="O196" i="4"/>
  <c r="Q196" i="4" s="1"/>
  <c r="U97" i="4" l="1"/>
  <c r="S98" i="4"/>
  <c r="R98" i="4"/>
  <c r="O197" i="4"/>
  <c r="Q197" i="4" s="1"/>
  <c r="T98" i="4" l="1"/>
  <c r="V98" i="4" s="1"/>
  <c r="P99" i="4" s="1"/>
  <c r="S99" i="4" s="1"/>
  <c r="O198" i="4"/>
  <c r="Q198" i="4" s="1"/>
  <c r="U98" i="4" l="1"/>
  <c r="R99" i="4"/>
  <c r="T99" i="4" s="1"/>
  <c r="O199" i="4"/>
  <c r="Q199" i="4" s="1"/>
  <c r="V99" i="4" l="1"/>
  <c r="P100" i="4" s="1"/>
  <c r="S100" i="4" s="1"/>
  <c r="O200" i="4"/>
  <c r="Q200" i="4" s="1"/>
  <c r="U99" i="4" l="1"/>
  <c r="R100" i="4"/>
  <c r="T100" i="4" s="1"/>
  <c r="O201" i="4"/>
  <c r="Q201" i="4" s="1"/>
  <c r="V100" i="4" l="1"/>
  <c r="P101" i="4" s="1"/>
  <c r="S101" i="4" s="1"/>
  <c r="O202" i="4"/>
  <c r="Q202" i="4" s="1"/>
  <c r="U100" i="4" l="1"/>
  <c r="R101" i="4"/>
  <c r="T101" i="4" s="1"/>
  <c r="O203" i="4"/>
  <c r="Q203" i="4" s="1"/>
  <c r="V101" i="4" l="1"/>
  <c r="P102" i="4" s="1"/>
  <c r="S102" i="4" s="1"/>
  <c r="O204" i="4"/>
  <c r="Q204" i="4" s="1"/>
  <c r="U101" i="4" l="1"/>
  <c r="R102" i="4"/>
  <c r="T102" i="4" s="1"/>
  <c r="O205" i="4"/>
  <c r="Q205" i="4" s="1"/>
  <c r="V102" i="4" l="1"/>
  <c r="P103" i="4" s="1"/>
  <c r="S103" i="4" s="1"/>
  <c r="O206" i="4"/>
  <c r="Q206" i="4" s="1"/>
  <c r="U102" i="4" l="1"/>
  <c r="R103" i="4"/>
  <c r="T103" i="4" s="1"/>
  <c r="O207" i="4"/>
  <c r="Q207" i="4" s="1"/>
  <c r="V103" i="4" l="1"/>
  <c r="P104" i="4" s="1"/>
  <c r="O208" i="4"/>
  <c r="Q208" i="4" s="1"/>
  <c r="U103" i="4" l="1"/>
  <c r="S104" i="4"/>
  <c r="R104" i="4"/>
  <c r="O209" i="4"/>
  <c r="Q209" i="4" s="1"/>
  <c r="T104" i="4" l="1"/>
  <c r="V104" i="4" s="1"/>
  <c r="P105" i="4" s="1"/>
  <c r="S105" i="4" s="1"/>
  <c r="O210" i="4"/>
  <c r="Q210" i="4" s="1"/>
  <c r="R105" i="4" l="1"/>
  <c r="T105" i="4" s="1"/>
  <c r="U104" i="4"/>
  <c r="O211" i="4"/>
  <c r="Q211" i="4" s="1"/>
  <c r="V105" i="4" l="1"/>
  <c r="P106" i="4" s="1"/>
  <c r="S106" i="4" s="1"/>
  <c r="O212" i="4"/>
  <c r="Q212" i="4" s="1"/>
  <c r="U105" i="4" l="1"/>
  <c r="R106" i="4"/>
  <c r="T106" i="4" s="1"/>
  <c r="O213" i="4"/>
  <c r="Q213" i="4" s="1"/>
  <c r="V106" i="4" l="1"/>
  <c r="P107" i="4" s="1"/>
  <c r="S107" i="4" s="1"/>
  <c r="O214" i="4"/>
  <c r="Q214" i="4" s="1"/>
  <c r="U106" i="4" l="1"/>
  <c r="R107" i="4"/>
  <c r="T107" i="4" s="1"/>
  <c r="O215" i="4"/>
  <c r="Q215" i="4" s="1"/>
  <c r="V107" i="4" l="1"/>
  <c r="P108" i="4" s="1"/>
  <c r="S108" i="4" s="1"/>
  <c r="O216" i="4"/>
  <c r="Q216" i="4" s="1"/>
  <c r="U107" i="4" l="1"/>
  <c r="R108" i="4"/>
  <c r="T108" i="4" s="1"/>
  <c r="O217" i="4"/>
  <c r="Q217" i="4" s="1"/>
  <c r="V108" i="4" l="1"/>
  <c r="P109" i="4" s="1"/>
  <c r="S109" i="4" s="1"/>
  <c r="O218" i="4"/>
  <c r="Q218" i="4" s="1"/>
  <c r="U108" i="4" l="1"/>
  <c r="R109" i="4"/>
  <c r="T109" i="4" s="1"/>
  <c r="O219" i="4"/>
  <c r="Q219" i="4" s="1"/>
  <c r="V109" i="4" l="1"/>
  <c r="P110" i="4" s="1"/>
  <c r="S110" i="4" s="1"/>
  <c r="U109" i="4"/>
  <c r="O220" i="4"/>
  <c r="Q220" i="4" s="1"/>
  <c r="R110" i="4" l="1"/>
  <c r="T110" i="4" s="1"/>
  <c r="O221" i="4"/>
  <c r="Q221" i="4" s="1"/>
  <c r="V110" i="4" l="1"/>
  <c r="P111" i="4" s="1"/>
  <c r="S111" i="4" s="1"/>
  <c r="O222" i="4"/>
  <c r="Q222" i="4" s="1"/>
  <c r="U110" i="4" l="1"/>
  <c r="R111" i="4"/>
  <c r="T111" i="4" s="1"/>
  <c r="O223" i="4"/>
  <c r="Q223" i="4" s="1"/>
  <c r="V111" i="4" l="1"/>
  <c r="P112" i="4" s="1"/>
  <c r="S112" i="4" s="1"/>
  <c r="O224" i="4"/>
  <c r="Q224" i="4" s="1"/>
  <c r="U111" i="4" l="1"/>
  <c r="R112" i="4"/>
  <c r="T112" i="4" s="1"/>
  <c r="O225" i="4"/>
  <c r="Q225" i="4" s="1"/>
  <c r="V112" i="4" l="1"/>
  <c r="P113" i="4" s="1"/>
  <c r="S113" i="4" s="1"/>
  <c r="U112" i="4"/>
  <c r="O226" i="4"/>
  <c r="Q226" i="4" s="1"/>
  <c r="R113" i="4" l="1"/>
  <c r="T113" i="4" s="1"/>
  <c r="O227" i="4"/>
  <c r="Q227" i="4" s="1"/>
  <c r="V113" i="4" l="1"/>
  <c r="P114" i="4" s="1"/>
  <c r="S114" i="4" s="1"/>
  <c r="O228" i="4"/>
  <c r="Q228" i="4" s="1"/>
  <c r="U113" i="4" l="1"/>
  <c r="R114" i="4"/>
  <c r="T114" i="4" s="1"/>
  <c r="O229" i="4"/>
  <c r="Q229" i="4" s="1"/>
  <c r="V114" i="4" l="1"/>
  <c r="P115" i="4" s="1"/>
  <c r="S115" i="4" s="1"/>
  <c r="O230" i="4"/>
  <c r="Q230" i="4" s="1"/>
  <c r="U114" i="4" l="1"/>
  <c r="R115" i="4"/>
  <c r="T115" i="4" s="1"/>
  <c r="O231" i="4"/>
  <c r="Q231" i="4" s="1"/>
  <c r="V115" i="4" l="1"/>
  <c r="P116" i="4" s="1"/>
  <c r="S116" i="4" s="1"/>
  <c r="O232" i="4"/>
  <c r="Q232" i="4" s="1"/>
  <c r="U115" i="4" l="1"/>
  <c r="R116" i="4"/>
  <c r="T116" i="4" s="1"/>
  <c r="O233" i="4"/>
  <c r="Q233" i="4" s="1"/>
  <c r="V116" i="4" l="1"/>
  <c r="P117" i="4" s="1"/>
  <c r="S117" i="4" s="1"/>
  <c r="O234" i="4"/>
  <c r="Q234" i="4" s="1"/>
  <c r="U116" i="4" l="1"/>
  <c r="R117" i="4"/>
  <c r="T117" i="4" s="1"/>
  <c r="O235" i="4"/>
  <c r="Q235" i="4" s="1"/>
  <c r="V117" i="4" l="1"/>
  <c r="P118" i="4" s="1"/>
  <c r="S118" i="4" s="1"/>
  <c r="O236" i="4"/>
  <c r="Q236" i="4" s="1"/>
  <c r="U117" i="4" l="1"/>
  <c r="R118" i="4"/>
  <c r="T118" i="4" s="1"/>
  <c r="O237" i="4"/>
  <c r="Q237" i="4" s="1"/>
  <c r="V118" i="4" l="1"/>
  <c r="P119" i="4" s="1"/>
  <c r="O238" i="4"/>
  <c r="Q238" i="4" s="1"/>
  <c r="U118" i="4" l="1"/>
  <c r="S119" i="4"/>
  <c r="R119" i="4"/>
  <c r="O239" i="4"/>
  <c r="Q239" i="4" s="1"/>
  <c r="T119" i="4" l="1"/>
  <c r="V119" i="4" s="1"/>
  <c r="P120" i="4" s="1"/>
  <c r="S120" i="4" s="1"/>
  <c r="O240" i="4"/>
  <c r="Q240" i="4" s="1"/>
  <c r="U119" i="4" l="1"/>
  <c r="R120" i="4"/>
  <c r="T120" i="4" s="1"/>
  <c r="O241" i="4"/>
  <c r="Q241" i="4" s="1"/>
  <c r="V120" i="4" l="1"/>
  <c r="P121" i="4" s="1"/>
  <c r="S121" i="4" s="1"/>
  <c r="O242" i="4"/>
  <c r="Q242" i="4" s="1"/>
  <c r="U120" i="4" l="1"/>
  <c r="R121" i="4"/>
  <c r="T121" i="4" s="1"/>
  <c r="O243" i="4"/>
  <c r="Q243" i="4" s="1"/>
  <c r="V121" i="4" l="1"/>
  <c r="P122" i="4" s="1"/>
  <c r="S122" i="4" s="1"/>
  <c r="O244" i="4"/>
  <c r="Q244" i="4" s="1"/>
  <c r="U121" i="4" l="1"/>
  <c r="R122" i="4"/>
  <c r="T122" i="4" s="1"/>
  <c r="O245" i="4"/>
  <c r="Q245" i="4" s="1"/>
  <c r="V122" i="4" l="1"/>
  <c r="P123" i="4" s="1"/>
  <c r="O246" i="4"/>
  <c r="Q246" i="4" s="1"/>
  <c r="U122" i="4" l="1"/>
  <c r="S123" i="4"/>
  <c r="R123" i="4"/>
  <c r="O247" i="4"/>
  <c r="Q247" i="4" s="1"/>
  <c r="T123" i="4" l="1"/>
  <c r="V123" i="4" s="1"/>
  <c r="P124" i="4" s="1"/>
  <c r="S124" i="4" s="1"/>
  <c r="O248" i="4"/>
  <c r="Q248" i="4" s="1"/>
  <c r="R124" i="4" l="1"/>
  <c r="T124" i="4" s="1"/>
  <c r="U123" i="4"/>
  <c r="O249" i="4"/>
  <c r="Q249" i="4" s="1"/>
  <c r="V124" i="4" l="1"/>
  <c r="P125" i="4" s="1"/>
  <c r="O250" i="4"/>
  <c r="Q250" i="4" s="1"/>
  <c r="U124" i="4" l="1"/>
  <c r="S125" i="4"/>
  <c r="R125" i="4"/>
  <c r="O251" i="4"/>
  <c r="Q251" i="4" s="1"/>
  <c r="T125" i="4" l="1"/>
  <c r="V125" i="4" s="1"/>
  <c r="P126" i="4" s="1"/>
  <c r="S126" i="4" s="1"/>
  <c r="O252" i="4"/>
  <c r="Q252" i="4" s="1"/>
  <c r="R126" i="4" l="1"/>
  <c r="T126" i="4" s="1"/>
  <c r="U125" i="4"/>
  <c r="O253" i="4"/>
  <c r="Q253" i="4" s="1"/>
  <c r="V126" i="4" l="1"/>
  <c r="P127" i="4" s="1"/>
  <c r="O254" i="4"/>
  <c r="Q254" i="4" s="1"/>
  <c r="S127" i="4" l="1"/>
  <c r="U126" i="4"/>
  <c r="R127" i="4"/>
  <c r="O255" i="4"/>
  <c r="Q255" i="4" s="1"/>
  <c r="T127" i="4" l="1"/>
  <c r="V127" i="4" s="1"/>
  <c r="P128" i="4" s="1"/>
  <c r="O256" i="4"/>
  <c r="Q256" i="4" s="1"/>
  <c r="R128" i="4" l="1"/>
  <c r="S128" i="4"/>
  <c r="U127" i="4"/>
  <c r="O257" i="4"/>
  <c r="Q257" i="4" s="1"/>
  <c r="T128" i="4" l="1"/>
  <c r="O258" i="4"/>
  <c r="Q258" i="4" s="1"/>
  <c r="V128" i="4" l="1"/>
  <c r="P129" i="4" s="1"/>
  <c r="S129" i="4" s="1"/>
  <c r="U128" i="4"/>
  <c r="O259" i="4"/>
  <c r="Q259" i="4" s="1"/>
  <c r="R129" i="4" l="1"/>
  <c r="O260" i="4"/>
  <c r="Q260" i="4" s="1"/>
  <c r="T129" i="4" l="1"/>
  <c r="V129" i="4" s="1"/>
  <c r="P130" i="4" s="1"/>
  <c r="S130" i="4" s="1"/>
  <c r="O261" i="4"/>
  <c r="Q261" i="4" s="1"/>
  <c r="U129" i="4" l="1"/>
  <c r="R130" i="4"/>
  <c r="O262" i="4"/>
  <c r="Q262" i="4" s="1"/>
  <c r="T130" i="4" l="1"/>
  <c r="V130" i="4" s="1"/>
  <c r="P131" i="4" s="1"/>
  <c r="S131" i="4" s="1"/>
  <c r="O263" i="4"/>
  <c r="Q263" i="4" s="1"/>
  <c r="U130" i="4" l="1"/>
  <c r="R131" i="4"/>
  <c r="O264" i="4"/>
  <c r="Q264" i="4" s="1"/>
  <c r="T131" i="4" l="1"/>
  <c r="V131" i="4" s="1"/>
  <c r="P132" i="4" s="1"/>
  <c r="S132" i="4" s="1"/>
  <c r="O265" i="4"/>
  <c r="Q265" i="4" s="1"/>
  <c r="U131" i="4" l="1"/>
  <c r="R132" i="4"/>
  <c r="O266" i="4"/>
  <c r="Q266" i="4" s="1"/>
  <c r="T132" i="4" l="1"/>
  <c r="V132" i="4" s="1"/>
  <c r="P133" i="4" s="1"/>
  <c r="S133" i="4" s="1"/>
  <c r="O267" i="4"/>
  <c r="Q267" i="4" s="1"/>
  <c r="U132" i="4" l="1"/>
  <c r="R133" i="4"/>
  <c r="O268" i="4"/>
  <c r="Q268" i="4" s="1"/>
  <c r="T133" i="4" l="1"/>
  <c r="V133" i="4" s="1"/>
  <c r="P134" i="4" s="1"/>
  <c r="S134" i="4" s="1"/>
  <c r="O269" i="4"/>
  <c r="Q269" i="4" s="1"/>
  <c r="U133" i="4" l="1"/>
  <c r="R134" i="4"/>
  <c r="O270" i="4"/>
  <c r="Q270" i="4" s="1"/>
  <c r="T134" i="4" l="1"/>
  <c r="V134" i="4" s="1"/>
  <c r="P135" i="4" s="1"/>
  <c r="S135" i="4" s="1"/>
  <c r="O271" i="4"/>
  <c r="Q271" i="4" s="1"/>
  <c r="U134" i="4" l="1"/>
  <c r="R135" i="4"/>
  <c r="O272" i="4"/>
  <c r="Q272" i="4" s="1"/>
  <c r="T135" i="4" l="1"/>
  <c r="V135" i="4" s="1"/>
  <c r="P136" i="4" s="1"/>
  <c r="S136" i="4" s="1"/>
  <c r="O273" i="4"/>
  <c r="Q273" i="4" s="1"/>
  <c r="U135" i="4" l="1"/>
  <c r="R136" i="4"/>
  <c r="O274" i="4"/>
  <c r="Q274" i="4" s="1"/>
  <c r="T136" i="4" l="1"/>
  <c r="V136" i="4" s="1"/>
  <c r="P137" i="4" s="1"/>
  <c r="S137" i="4" s="1"/>
  <c r="O275" i="4"/>
  <c r="Q275" i="4" s="1"/>
  <c r="U136" i="4" l="1"/>
  <c r="R137" i="4"/>
  <c r="O276" i="4"/>
  <c r="Q276" i="4" s="1"/>
  <c r="T137" i="4" l="1"/>
  <c r="V137" i="4" s="1"/>
  <c r="P138" i="4" s="1"/>
  <c r="S138" i="4" s="1"/>
  <c r="O277" i="4"/>
  <c r="Q277" i="4" s="1"/>
  <c r="R138" i="4" l="1"/>
  <c r="U137" i="4"/>
  <c r="O278" i="4"/>
  <c r="Q278" i="4" s="1"/>
  <c r="T138" i="4" l="1"/>
  <c r="V138" i="4" s="1"/>
  <c r="P139" i="4" s="1"/>
  <c r="S139" i="4" s="1"/>
  <c r="O279" i="4"/>
  <c r="Q279" i="4" s="1"/>
  <c r="U138" i="4" l="1"/>
  <c r="R139" i="4"/>
  <c r="O280" i="4"/>
  <c r="Q280" i="4" s="1"/>
  <c r="T139" i="4" l="1"/>
  <c r="V139" i="4" s="1"/>
  <c r="P140" i="4" s="1"/>
  <c r="S140" i="4" s="1"/>
  <c r="O281" i="4"/>
  <c r="Q281" i="4" s="1"/>
  <c r="U139" i="4" l="1"/>
  <c r="R140" i="4"/>
  <c r="O282" i="4"/>
  <c r="Q282" i="4" s="1"/>
  <c r="T140" i="4" l="1"/>
  <c r="V140" i="4" s="1"/>
  <c r="P141" i="4" s="1"/>
  <c r="S141" i="4" s="1"/>
  <c r="O283" i="4"/>
  <c r="Q283" i="4" s="1"/>
  <c r="U140" i="4" l="1"/>
  <c r="R141" i="4"/>
  <c r="O284" i="4"/>
  <c r="Q284" i="4" s="1"/>
  <c r="T141" i="4" l="1"/>
  <c r="V141" i="4" s="1"/>
  <c r="P142" i="4" s="1"/>
  <c r="S142" i="4" s="1"/>
  <c r="O285" i="4"/>
  <c r="Q285" i="4" s="1"/>
  <c r="R142" i="4" l="1"/>
  <c r="U141" i="4"/>
  <c r="O286" i="4"/>
  <c r="Q286" i="4" s="1"/>
  <c r="T142" i="4" l="1"/>
  <c r="V142" i="4" s="1"/>
  <c r="P143" i="4" s="1"/>
  <c r="S143" i="4" s="1"/>
  <c r="O287" i="4"/>
  <c r="Q287" i="4" s="1"/>
  <c r="R143" i="4" l="1"/>
  <c r="U142" i="4"/>
  <c r="O288" i="4"/>
  <c r="Q288" i="4" s="1"/>
  <c r="T143" i="4" l="1"/>
  <c r="V143" i="4" s="1"/>
  <c r="P144" i="4" s="1"/>
  <c r="S144" i="4" s="1"/>
  <c r="O289" i="4"/>
  <c r="Q289" i="4" s="1"/>
  <c r="U143" i="4" l="1"/>
  <c r="R144" i="4"/>
  <c r="O290" i="4"/>
  <c r="Q290" i="4" s="1"/>
  <c r="T144" i="4" l="1"/>
  <c r="V144" i="4" s="1"/>
  <c r="P145" i="4" s="1"/>
  <c r="S145" i="4" s="1"/>
  <c r="O291" i="4"/>
  <c r="Q291" i="4" s="1"/>
  <c r="R145" i="4" l="1"/>
  <c r="U144" i="4"/>
  <c r="O292" i="4"/>
  <c r="Q292" i="4" s="1"/>
  <c r="T145" i="4" l="1"/>
  <c r="V145" i="4" s="1"/>
  <c r="P146" i="4" s="1"/>
  <c r="S146" i="4" s="1"/>
  <c r="O293" i="4"/>
  <c r="Q293" i="4" s="1"/>
  <c r="R146" i="4" l="1"/>
  <c r="U145" i="4"/>
  <c r="O294" i="4"/>
  <c r="Q294" i="4" s="1"/>
  <c r="T146" i="4" l="1"/>
  <c r="V146" i="4" s="1"/>
  <c r="P147" i="4" s="1"/>
  <c r="S147" i="4" s="1"/>
  <c r="O295" i="4"/>
  <c r="Q295" i="4" s="1"/>
  <c r="R147" i="4" l="1"/>
  <c r="U146" i="4"/>
  <c r="O296" i="4"/>
  <c r="Q296" i="4" s="1"/>
  <c r="T147" i="4" l="1"/>
  <c r="V147" i="4" s="1"/>
  <c r="P148" i="4" s="1"/>
  <c r="S148" i="4" s="1"/>
  <c r="O297" i="4"/>
  <c r="Q297" i="4" s="1"/>
  <c r="U147" i="4" l="1"/>
  <c r="R148" i="4"/>
  <c r="O298" i="4"/>
  <c r="Q298" i="4" s="1"/>
  <c r="T148" i="4" l="1"/>
  <c r="V148" i="4" s="1"/>
  <c r="P149" i="4" s="1"/>
  <c r="S149" i="4" s="1"/>
  <c r="O299" i="4"/>
  <c r="Q299" i="4" s="1"/>
  <c r="U148" i="4" l="1"/>
  <c r="R149" i="4"/>
  <c r="O300" i="4"/>
  <c r="Q300" i="4" s="1"/>
  <c r="T149" i="4" l="1"/>
  <c r="V149" i="4" s="1"/>
  <c r="P150" i="4" s="1"/>
  <c r="S150" i="4" s="1"/>
  <c r="O301" i="4"/>
  <c r="Q301" i="4" s="1"/>
  <c r="U149" i="4" l="1"/>
  <c r="R150" i="4"/>
  <c r="O302" i="4"/>
  <c r="Q302" i="4" s="1"/>
  <c r="T150" i="4" l="1"/>
  <c r="V150" i="4" s="1"/>
  <c r="P151" i="4" s="1"/>
  <c r="S151" i="4" s="1"/>
  <c r="O303" i="4"/>
  <c r="Q303" i="4" s="1"/>
  <c r="R151" i="4" l="1"/>
  <c r="U150" i="4"/>
  <c r="O304" i="4"/>
  <c r="Q304" i="4" s="1"/>
  <c r="T151" i="4" l="1"/>
  <c r="V151" i="4" s="1"/>
  <c r="P152" i="4" s="1"/>
  <c r="S152" i="4" s="1"/>
  <c r="O305" i="4"/>
  <c r="Q305" i="4" s="1"/>
  <c r="U151" i="4" l="1"/>
  <c r="R152" i="4"/>
  <c r="O306" i="4"/>
  <c r="Q306" i="4" s="1"/>
  <c r="T152" i="4" l="1"/>
  <c r="V152" i="4" s="1"/>
  <c r="P153" i="4" s="1"/>
  <c r="S153" i="4" s="1"/>
  <c r="O307" i="4"/>
  <c r="Q307" i="4" s="1"/>
  <c r="U152" i="4" l="1"/>
  <c r="R153" i="4"/>
  <c r="O308" i="4"/>
  <c r="Q308" i="4" s="1"/>
  <c r="T153" i="4" l="1"/>
  <c r="V153" i="4" s="1"/>
  <c r="P154" i="4" s="1"/>
  <c r="S154" i="4" s="1"/>
  <c r="O309" i="4"/>
  <c r="Q309" i="4" s="1"/>
  <c r="U153" i="4" l="1"/>
  <c r="R154" i="4"/>
  <c r="O310" i="4"/>
  <c r="Q310" i="4" s="1"/>
  <c r="T154" i="4" l="1"/>
  <c r="V154" i="4" s="1"/>
  <c r="P155" i="4" s="1"/>
  <c r="S155" i="4" s="1"/>
  <c r="O311" i="4"/>
  <c r="Q311" i="4" s="1"/>
  <c r="U154" i="4" l="1"/>
  <c r="R155" i="4"/>
  <c r="O312" i="4"/>
  <c r="Q312" i="4" s="1"/>
  <c r="T155" i="4" l="1"/>
  <c r="V155" i="4" s="1"/>
  <c r="P156" i="4" s="1"/>
  <c r="S156" i="4" s="1"/>
  <c r="O313" i="4"/>
  <c r="Q313" i="4" s="1"/>
  <c r="U155" i="4" l="1"/>
  <c r="R156" i="4"/>
  <c r="O314" i="4"/>
  <c r="Q314" i="4" s="1"/>
  <c r="T156" i="4" l="1"/>
  <c r="V156" i="4" s="1"/>
  <c r="P157" i="4" s="1"/>
  <c r="S157" i="4" s="1"/>
  <c r="O315" i="4"/>
  <c r="Q315" i="4" s="1"/>
  <c r="R157" i="4" l="1"/>
  <c r="U156" i="4"/>
  <c r="O316" i="4"/>
  <c r="Q316" i="4" s="1"/>
  <c r="T157" i="4" l="1"/>
  <c r="V157" i="4" s="1"/>
  <c r="P158" i="4" s="1"/>
  <c r="S158" i="4" s="1"/>
  <c r="O317" i="4"/>
  <c r="Q317" i="4" s="1"/>
  <c r="U157" i="4" l="1"/>
  <c r="R158" i="4"/>
  <c r="O318" i="4"/>
  <c r="Q318" i="4" s="1"/>
  <c r="T158" i="4" l="1"/>
  <c r="V158" i="4" s="1"/>
  <c r="P159" i="4" s="1"/>
  <c r="S159" i="4" s="1"/>
  <c r="O319" i="4"/>
  <c r="Q319" i="4" s="1"/>
  <c r="R159" i="4" l="1"/>
  <c r="U158" i="4"/>
  <c r="O320" i="4"/>
  <c r="Q320" i="4" s="1"/>
  <c r="T159" i="4" l="1"/>
  <c r="V159" i="4" s="1"/>
  <c r="P160" i="4" s="1"/>
  <c r="S160" i="4" s="1"/>
  <c r="O321" i="4"/>
  <c r="Q321" i="4" s="1"/>
  <c r="U159" i="4" l="1"/>
  <c r="R160" i="4"/>
  <c r="O322" i="4"/>
  <c r="Q322" i="4" s="1"/>
  <c r="T160" i="4" l="1"/>
  <c r="V160" i="4" s="1"/>
  <c r="P161" i="4" s="1"/>
  <c r="S161" i="4" s="1"/>
  <c r="O323" i="4"/>
  <c r="Q323" i="4" s="1"/>
  <c r="U160" i="4" l="1"/>
  <c r="R161" i="4"/>
  <c r="O324" i="4"/>
  <c r="Q324" i="4" s="1"/>
  <c r="T161" i="4" l="1"/>
  <c r="V161" i="4" s="1"/>
  <c r="P162" i="4" s="1"/>
  <c r="S162" i="4" s="1"/>
  <c r="O325" i="4"/>
  <c r="Q325" i="4" s="1"/>
  <c r="U161" i="4" l="1"/>
  <c r="R162" i="4"/>
  <c r="O326" i="4"/>
  <c r="Q326" i="4" s="1"/>
  <c r="T162" i="4" l="1"/>
  <c r="V162" i="4" s="1"/>
  <c r="P163" i="4" s="1"/>
  <c r="S163" i="4" s="1"/>
  <c r="O327" i="4"/>
  <c r="Q327" i="4" s="1"/>
  <c r="R163" i="4" l="1"/>
  <c r="U162" i="4"/>
  <c r="O328" i="4"/>
  <c r="Q328" i="4" s="1"/>
  <c r="T163" i="4" l="1"/>
  <c r="V163" i="4" s="1"/>
  <c r="P164" i="4" s="1"/>
  <c r="S164" i="4" s="1"/>
  <c r="O329" i="4"/>
  <c r="Q329" i="4" s="1"/>
  <c r="U163" i="4" l="1"/>
  <c r="R164" i="4"/>
  <c r="O330" i="4"/>
  <c r="Q330" i="4" s="1"/>
  <c r="T164" i="4" l="1"/>
  <c r="V164" i="4" s="1"/>
  <c r="P165" i="4" s="1"/>
  <c r="S165" i="4" s="1"/>
  <c r="O331" i="4"/>
  <c r="Q331" i="4" s="1"/>
  <c r="U164" i="4" l="1"/>
  <c r="R165" i="4"/>
  <c r="O332" i="4"/>
  <c r="Q332" i="4" s="1"/>
  <c r="T165" i="4" l="1"/>
  <c r="V165" i="4" s="1"/>
  <c r="P166" i="4" s="1"/>
  <c r="S166" i="4" s="1"/>
  <c r="O333" i="4"/>
  <c r="Q333" i="4" s="1"/>
  <c r="R166" i="4" l="1"/>
  <c r="U165" i="4"/>
  <c r="O334" i="4"/>
  <c r="Q334" i="4" s="1"/>
  <c r="T166" i="4" l="1"/>
  <c r="V166" i="4" s="1"/>
  <c r="P167" i="4" s="1"/>
  <c r="S167" i="4" s="1"/>
  <c r="O335" i="4"/>
  <c r="Q335" i="4" s="1"/>
  <c r="U166" i="4" l="1"/>
  <c r="R167" i="4"/>
  <c r="O336" i="4"/>
  <c r="Q336" i="4" s="1"/>
  <c r="T167" i="4" l="1"/>
  <c r="V167" i="4" s="1"/>
  <c r="P168" i="4" s="1"/>
  <c r="S168" i="4" s="1"/>
  <c r="O337" i="4"/>
  <c r="Q337" i="4" s="1"/>
  <c r="U167" i="4" l="1"/>
  <c r="R168" i="4"/>
  <c r="O338" i="4"/>
  <c r="Q338" i="4" s="1"/>
  <c r="T168" i="4" l="1"/>
  <c r="V168" i="4" s="1"/>
  <c r="P169" i="4" s="1"/>
  <c r="S169" i="4" s="1"/>
  <c r="O339" i="4"/>
  <c r="Q339" i="4" s="1"/>
  <c r="R169" i="4" l="1"/>
  <c r="U168" i="4"/>
  <c r="O340" i="4"/>
  <c r="Q340" i="4" s="1"/>
  <c r="T169" i="4" l="1"/>
  <c r="V169" i="4" s="1"/>
  <c r="P170" i="4" s="1"/>
  <c r="S170" i="4" s="1"/>
  <c r="O341" i="4"/>
  <c r="Q341" i="4" s="1"/>
  <c r="R170" i="4" l="1"/>
  <c r="U169" i="4"/>
  <c r="O342" i="4"/>
  <c r="Q342" i="4" s="1"/>
  <c r="T170" i="4" l="1"/>
  <c r="V170" i="4" s="1"/>
  <c r="P171" i="4" s="1"/>
  <c r="S171" i="4" s="1"/>
  <c r="O343" i="4"/>
  <c r="Q343" i="4" s="1"/>
  <c r="U170" i="4" l="1"/>
  <c r="R171" i="4"/>
  <c r="O344" i="4"/>
  <c r="Q344" i="4" s="1"/>
  <c r="T171" i="4" l="1"/>
  <c r="V171" i="4" s="1"/>
  <c r="P172" i="4" s="1"/>
  <c r="S172" i="4" s="1"/>
  <c r="O345" i="4"/>
  <c r="Q345" i="4" s="1"/>
  <c r="U171" i="4" l="1"/>
  <c r="R172" i="4"/>
  <c r="O346" i="4"/>
  <c r="Q346" i="4" s="1"/>
  <c r="T172" i="4" l="1"/>
  <c r="V172" i="4" s="1"/>
  <c r="P173" i="4" s="1"/>
  <c r="S173" i="4" s="1"/>
  <c r="O347" i="4"/>
  <c r="Q347" i="4" s="1"/>
  <c r="U172" i="4" l="1"/>
  <c r="R173" i="4"/>
  <c r="O348" i="4"/>
  <c r="Q348" i="4" s="1"/>
  <c r="T173" i="4" l="1"/>
  <c r="V173" i="4" s="1"/>
  <c r="P174" i="4" s="1"/>
  <c r="S174" i="4" s="1"/>
  <c r="O349" i="4"/>
  <c r="Q349" i="4" s="1"/>
  <c r="U173" i="4" l="1"/>
  <c r="R174" i="4"/>
  <c r="O350" i="4"/>
  <c r="Q350" i="4" s="1"/>
  <c r="T174" i="4" l="1"/>
  <c r="V174" i="4" s="1"/>
  <c r="P175" i="4" s="1"/>
  <c r="S175" i="4" s="1"/>
  <c r="O351" i="4"/>
  <c r="Q351" i="4" s="1"/>
  <c r="U174" i="4" l="1"/>
  <c r="R175" i="4"/>
  <c r="O352" i="4"/>
  <c r="Q352" i="4" s="1"/>
  <c r="T175" i="4" l="1"/>
  <c r="V175" i="4" s="1"/>
  <c r="P176" i="4" s="1"/>
  <c r="S176" i="4" s="1"/>
  <c r="O353" i="4"/>
  <c r="Q353" i="4" s="1"/>
  <c r="U175" i="4" l="1"/>
  <c r="R176" i="4"/>
  <c r="O354" i="4"/>
  <c r="Q354" i="4" s="1"/>
  <c r="T176" i="4" l="1"/>
  <c r="V176" i="4" s="1"/>
  <c r="P177" i="4" s="1"/>
  <c r="S177" i="4" s="1"/>
  <c r="O355" i="4"/>
  <c r="Q355" i="4" s="1"/>
  <c r="R177" i="4" l="1"/>
  <c r="U176" i="4"/>
  <c r="O356" i="4"/>
  <c r="Q356" i="4" s="1"/>
  <c r="T177" i="4" l="1"/>
  <c r="V177" i="4" s="1"/>
  <c r="P178" i="4" s="1"/>
  <c r="S178" i="4" s="1"/>
  <c r="O357" i="4"/>
  <c r="Q357" i="4" s="1"/>
  <c r="R178" i="4" l="1"/>
  <c r="U177" i="4"/>
  <c r="O358" i="4"/>
  <c r="Q358" i="4" s="1"/>
  <c r="T178" i="4" l="1"/>
  <c r="V178" i="4" s="1"/>
  <c r="P179" i="4" s="1"/>
  <c r="S179" i="4" s="1"/>
  <c r="O359" i="4"/>
  <c r="Q359" i="4" s="1"/>
  <c r="U178" i="4" l="1"/>
  <c r="R179" i="4"/>
  <c r="O360" i="4"/>
  <c r="Q360" i="4" s="1"/>
  <c r="T179" i="4" l="1"/>
  <c r="V179" i="4" s="1"/>
  <c r="P180" i="4" s="1"/>
  <c r="S180" i="4" s="1"/>
  <c r="O361" i="4"/>
  <c r="Q361" i="4" s="1"/>
  <c r="U179" i="4" l="1"/>
  <c r="R180" i="4"/>
  <c r="O362" i="4"/>
  <c r="Q362" i="4" s="1"/>
  <c r="T180" i="4" l="1"/>
  <c r="V180" i="4" s="1"/>
  <c r="P181" i="4" s="1"/>
  <c r="S181" i="4" s="1"/>
  <c r="O363" i="4"/>
  <c r="Q363" i="4" s="1"/>
  <c r="R181" i="4" l="1"/>
  <c r="U180" i="4"/>
  <c r="O364" i="4"/>
  <c r="Q364" i="4" s="1"/>
  <c r="T181" i="4" l="1"/>
  <c r="V181" i="4" s="1"/>
  <c r="P182" i="4" s="1"/>
  <c r="S182" i="4" s="1"/>
  <c r="O365" i="4"/>
  <c r="Q365" i="4" s="1"/>
  <c r="U181" i="4" l="1"/>
  <c r="R182" i="4"/>
  <c r="O366" i="4"/>
  <c r="Q366" i="4" s="1"/>
  <c r="T182" i="4" l="1"/>
  <c r="V182" i="4" s="1"/>
  <c r="P183" i="4" s="1"/>
  <c r="S183" i="4" s="1"/>
  <c r="O367" i="4"/>
  <c r="Q367" i="4" s="1"/>
  <c r="U182" i="4" l="1"/>
  <c r="R183" i="4"/>
  <c r="T183" i="4" l="1"/>
  <c r="V183" i="4" s="1"/>
  <c r="P184" i="4" s="1"/>
  <c r="S184" i="4" s="1"/>
  <c r="U183" i="4" l="1"/>
  <c r="R184" i="4"/>
  <c r="T184" i="4" l="1"/>
  <c r="V184" i="4" s="1"/>
  <c r="P185" i="4" s="1"/>
  <c r="S185" i="4" s="1"/>
  <c r="U184" i="4" l="1"/>
  <c r="R185" i="4"/>
  <c r="T185" i="4" l="1"/>
  <c r="V185" i="4" s="1"/>
  <c r="P186" i="4" s="1"/>
  <c r="S186" i="4" s="1"/>
  <c r="U185" i="4" l="1"/>
  <c r="R186" i="4"/>
  <c r="T186" i="4" l="1"/>
  <c r="V186" i="4" s="1"/>
  <c r="P187" i="4" s="1"/>
  <c r="S187" i="4" s="1"/>
  <c r="U186" i="4" l="1"/>
  <c r="R187" i="4"/>
  <c r="T187" i="4" l="1"/>
  <c r="V187" i="4" s="1"/>
  <c r="P188" i="4" s="1"/>
  <c r="S188" i="4" s="1"/>
  <c r="R188" i="4" l="1"/>
  <c r="U187" i="4"/>
  <c r="T188" i="4" l="1"/>
  <c r="V188" i="4" s="1"/>
  <c r="P189" i="4" s="1"/>
  <c r="S189" i="4" s="1"/>
  <c r="U188" i="4" l="1"/>
  <c r="R189" i="4"/>
  <c r="T189" i="4" l="1"/>
  <c r="V189" i="4" s="1"/>
  <c r="P190" i="4" s="1"/>
  <c r="S190" i="4" s="1"/>
  <c r="U189" i="4" l="1"/>
  <c r="R190" i="4"/>
  <c r="T190" i="4" l="1"/>
  <c r="V190" i="4" s="1"/>
  <c r="P191" i="4" s="1"/>
  <c r="S191" i="4" s="1"/>
  <c r="U190" i="4" l="1"/>
  <c r="R191" i="4"/>
  <c r="T191" i="4" l="1"/>
  <c r="V191" i="4" s="1"/>
  <c r="P192" i="4" s="1"/>
  <c r="S192" i="4" s="1"/>
  <c r="U191" i="4" l="1"/>
  <c r="R192" i="4"/>
  <c r="T192" i="4" l="1"/>
  <c r="V192" i="4" s="1"/>
  <c r="P193" i="4" s="1"/>
  <c r="S193" i="4" s="1"/>
  <c r="U192" i="4" l="1"/>
  <c r="R193" i="4"/>
  <c r="T193" i="4" l="1"/>
  <c r="V193" i="4" s="1"/>
  <c r="P194" i="4" s="1"/>
  <c r="S194" i="4" s="1"/>
  <c r="U193" i="4" l="1"/>
  <c r="R194" i="4"/>
  <c r="T194" i="4" l="1"/>
  <c r="V194" i="4" s="1"/>
  <c r="P195" i="4" s="1"/>
  <c r="S195" i="4" s="1"/>
  <c r="U194" i="4" l="1"/>
  <c r="R195" i="4"/>
  <c r="T195" i="4" l="1"/>
  <c r="V195" i="4" s="1"/>
  <c r="P196" i="4" s="1"/>
  <c r="S196" i="4" s="1"/>
  <c r="U195" i="4" l="1"/>
  <c r="R196" i="4"/>
  <c r="T196" i="4" l="1"/>
  <c r="V196" i="4" s="1"/>
  <c r="P197" i="4" s="1"/>
  <c r="S197" i="4" s="1"/>
  <c r="R197" i="4" l="1"/>
  <c r="U196" i="4"/>
  <c r="T197" i="4" l="1"/>
  <c r="V197" i="4" s="1"/>
  <c r="P198" i="4" s="1"/>
  <c r="S198" i="4" s="1"/>
  <c r="U197" i="4" l="1"/>
  <c r="R198" i="4"/>
  <c r="T198" i="4" l="1"/>
  <c r="V198" i="4" s="1"/>
  <c r="P199" i="4" s="1"/>
  <c r="S199" i="4" s="1"/>
  <c r="U198" i="4" l="1"/>
  <c r="R199" i="4"/>
  <c r="T199" i="4" l="1"/>
  <c r="V199" i="4" s="1"/>
  <c r="P200" i="4" s="1"/>
  <c r="S200" i="4" s="1"/>
  <c r="U199" i="4" l="1"/>
  <c r="R200" i="4"/>
  <c r="T200" i="4" l="1"/>
  <c r="V200" i="4" s="1"/>
  <c r="P201" i="4" s="1"/>
  <c r="S201" i="4" s="1"/>
  <c r="U200" i="4" l="1"/>
  <c r="R201" i="4"/>
  <c r="T201" i="4" l="1"/>
  <c r="V201" i="4" s="1"/>
  <c r="P202" i="4" s="1"/>
  <c r="S202" i="4" s="1"/>
  <c r="U201" i="4" l="1"/>
  <c r="R202" i="4"/>
  <c r="T202" i="4" l="1"/>
  <c r="V202" i="4" s="1"/>
  <c r="P203" i="4" s="1"/>
  <c r="S203" i="4" s="1"/>
  <c r="U202" i="4" l="1"/>
  <c r="R203" i="4"/>
  <c r="T203" i="4" l="1"/>
  <c r="V203" i="4" s="1"/>
  <c r="P204" i="4" s="1"/>
  <c r="S204" i="4" s="1"/>
  <c r="R204" i="4" l="1"/>
  <c r="U203" i="4"/>
  <c r="T204" i="4" l="1"/>
  <c r="V204" i="4" s="1"/>
  <c r="P205" i="4" s="1"/>
  <c r="S205" i="4" s="1"/>
  <c r="U204" i="4" l="1"/>
  <c r="R205" i="4"/>
  <c r="T205" i="4" l="1"/>
  <c r="V205" i="4" s="1"/>
  <c r="P206" i="4" s="1"/>
  <c r="S206" i="4" s="1"/>
  <c r="U205" i="4" l="1"/>
  <c r="R206" i="4"/>
  <c r="T206" i="4" l="1"/>
  <c r="V206" i="4" s="1"/>
  <c r="P207" i="4" s="1"/>
  <c r="S207" i="4" s="1"/>
  <c r="U206" i="4" l="1"/>
  <c r="R207" i="4"/>
  <c r="T207" i="4" l="1"/>
  <c r="V207" i="4" s="1"/>
  <c r="P208" i="4" s="1"/>
  <c r="S208" i="4" s="1"/>
  <c r="R208" i="4" l="1"/>
  <c r="U207" i="4"/>
  <c r="T208" i="4" l="1"/>
  <c r="V208" i="4" s="1"/>
  <c r="P209" i="4" s="1"/>
  <c r="S209" i="4" s="1"/>
  <c r="U208" i="4" l="1"/>
  <c r="R209" i="4"/>
  <c r="T209" i="4" l="1"/>
  <c r="V209" i="4" s="1"/>
  <c r="P210" i="4" s="1"/>
  <c r="S210" i="4" s="1"/>
  <c r="U209" i="4" l="1"/>
  <c r="R210" i="4"/>
  <c r="T210" i="4" l="1"/>
  <c r="V210" i="4" s="1"/>
  <c r="P211" i="4" s="1"/>
  <c r="S211" i="4" s="1"/>
  <c r="U210" i="4" l="1"/>
  <c r="R211" i="4"/>
  <c r="T211" i="4" l="1"/>
  <c r="V211" i="4" s="1"/>
  <c r="P212" i="4" s="1"/>
  <c r="S212" i="4" s="1"/>
  <c r="U211" i="4" l="1"/>
  <c r="R212" i="4"/>
  <c r="T212" i="4" l="1"/>
  <c r="V212" i="4" s="1"/>
  <c r="P213" i="4" s="1"/>
  <c r="S213" i="4" s="1"/>
  <c r="U212" i="4" l="1"/>
  <c r="R213" i="4"/>
  <c r="T213" i="4" l="1"/>
  <c r="V213" i="4" s="1"/>
  <c r="P214" i="4" s="1"/>
  <c r="S214" i="4" s="1"/>
  <c r="U213" i="4" l="1"/>
  <c r="R214" i="4"/>
  <c r="T214" i="4" l="1"/>
  <c r="V214" i="4" s="1"/>
  <c r="P215" i="4" s="1"/>
  <c r="S215" i="4" s="1"/>
  <c r="U214" i="4" l="1"/>
  <c r="R215" i="4"/>
  <c r="T215" i="4" l="1"/>
  <c r="V215" i="4" s="1"/>
  <c r="P216" i="4" s="1"/>
  <c r="S216" i="4" s="1"/>
  <c r="U215" i="4" l="1"/>
  <c r="R216" i="4"/>
  <c r="T216" i="4" l="1"/>
  <c r="V216" i="4" s="1"/>
  <c r="P217" i="4" s="1"/>
  <c r="S217" i="4" s="1"/>
  <c r="R217" i="4" l="1"/>
  <c r="U216" i="4"/>
  <c r="T217" i="4" l="1"/>
  <c r="V217" i="4" s="1"/>
  <c r="P218" i="4" s="1"/>
  <c r="S218" i="4" s="1"/>
  <c r="U217" i="4" l="1"/>
  <c r="R218" i="4"/>
  <c r="T218" i="4" l="1"/>
  <c r="V218" i="4" s="1"/>
  <c r="P219" i="4" s="1"/>
  <c r="S219" i="4" s="1"/>
  <c r="U218" i="4" l="1"/>
  <c r="R219" i="4"/>
  <c r="T219" i="4" l="1"/>
  <c r="V219" i="4" s="1"/>
  <c r="P220" i="4" s="1"/>
  <c r="S220" i="4" s="1"/>
  <c r="U219" i="4" l="1"/>
  <c r="R220" i="4"/>
  <c r="T220" i="4" l="1"/>
  <c r="V220" i="4" s="1"/>
  <c r="P221" i="4" s="1"/>
  <c r="S221" i="4" s="1"/>
  <c r="U220" i="4" l="1"/>
  <c r="R221" i="4"/>
  <c r="T221" i="4" l="1"/>
  <c r="V221" i="4" s="1"/>
  <c r="P222" i="4" s="1"/>
  <c r="S222" i="4" s="1"/>
  <c r="U221" i="4" l="1"/>
  <c r="R222" i="4"/>
  <c r="T222" i="4" l="1"/>
  <c r="V222" i="4" s="1"/>
  <c r="P223" i="4" s="1"/>
  <c r="S223" i="4" s="1"/>
  <c r="U222" i="4" l="1"/>
  <c r="R223" i="4"/>
  <c r="T223" i="4" l="1"/>
  <c r="V223" i="4" s="1"/>
  <c r="P224" i="4" s="1"/>
  <c r="S224" i="4" s="1"/>
  <c r="U223" i="4" l="1"/>
  <c r="R224" i="4"/>
  <c r="T224" i="4" l="1"/>
  <c r="V224" i="4" s="1"/>
  <c r="P225" i="4" s="1"/>
  <c r="S225" i="4" s="1"/>
  <c r="U224" i="4" l="1"/>
  <c r="R225" i="4"/>
  <c r="T225" i="4" l="1"/>
  <c r="V225" i="4" s="1"/>
  <c r="P226" i="4" s="1"/>
  <c r="S226" i="4" s="1"/>
  <c r="U225" i="4" l="1"/>
  <c r="R226" i="4"/>
  <c r="T226" i="4" l="1"/>
  <c r="V226" i="4" s="1"/>
  <c r="P227" i="4" s="1"/>
  <c r="S227" i="4" s="1"/>
  <c r="U226" i="4" l="1"/>
  <c r="R227" i="4"/>
  <c r="T227" i="4" l="1"/>
  <c r="V227" i="4" s="1"/>
  <c r="P228" i="4" s="1"/>
  <c r="S228" i="4" s="1"/>
  <c r="U227" i="4" l="1"/>
  <c r="R228" i="4"/>
  <c r="T228" i="4" l="1"/>
  <c r="V228" i="4" s="1"/>
  <c r="P229" i="4" s="1"/>
  <c r="S229" i="4" s="1"/>
  <c r="U228" i="4" l="1"/>
  <c r="R229" i="4"/>
  <c r="T229" i="4" l="1"/>
  <c r="V229" i="4" s="1"/>
  <c r="P230" i="4" s="1"/>
  <c r="S230" i="4" s="1"/>
  <c r="U229" i="4" l="1"/>
  <c r="R230" i="4"/>
  <c r="T230" i="4" l="1"/>
  <c r="V230" i="4" s="1"/>
  <c r="P231" i="4" s="1"/>
  <c r="S231" i="4" s="1"/>
  <c r="U230" i="4" l="1"/>
  <c r="R231" i="4"/>
  <c r="T231" i="4" l="1"/>
  <c r="V231" i="4" s="1"/>
  <c r="P232" i="4" s="1"/>
  <c r="S232" i="4" s="1"/>
  <c r="U231" i="4" l="1"/>
  <c r="R232" i="4"/>
  <c r="T232" i="4" l="1"/>
  <c r="V232" i="4" s="1"/>
  <c r="P233" i="4" s="1"/>
  <c r="S233" i="4" s="1"/>
  <c r="U232" i="4" l="1"/>
  <c r="R233" i="4"/>
  <c r="T233" i="4" l="1"/>
  <c r="V233" i="4" s="1"/>
  <c r="P234" i="4" s="1"/>
  <c r="S234" i="4" s="1"/>
  <c r="U233" i="4" l="1"/>
  <c r="R234" i="4"/>
  <c r="T234" i="4" l="1"/>
  <c r="V234" i="4" s="1"/>
  <c r="P235" i="4" s="1"/>
  <c r="S235" i="4" s="1"/>
  <c r="U234" i="4" l="1"/>
  <c r="R235" i="4"/>
  <c r="T235" i="4" l="1"/>
  <c r="V235" i="4" s="1"/>
  <c r="P236" i="4" s="1"/>
  <c r="S236" i="4" s="1"/>
  <c r="U235" i="4" l="1"/>
  <c r="R236" i="4"/>
  <c r="T236" i="4" l="1"/>
  <c r="V236" i="4" s="1"/>
  <c r="P237" i="4" s="1"/>
  <c r="S237" i="4" s="1"/>
  <c r="U236" i="4" l="1"/>
  <c r="R237" i="4"/>
  <c r="T237" i="4" l="1"/>
  <c r="V237" i="4" s="1"/>
  <c r="P238" i="4" s="1"/>
  <c r="S238" i="4" s="1"/>
  <c r="U237" i="4" l="1"/>
  <c r="R238" i="4"/>
  <c r="T238" i="4" l="1"/>
  <c r="V238" i="4" s="1"/>
  <c r="P239" i="4" s="1"/>
  <c r="S239" i="4" s="1"/>
  <c r="U238" i="4" l="1"/>
  <c r="R239" i="4"/>
  <c r="T239" i="4" l="1"/>
  <c r="V239" i="4" s="1"/>
  <c r="P240" i="4" s="1"/>
  <c r="S240" i="4" s="1"/>
  <c r="U239" i="4" l="1"/>
  <c r="R240" i="4"/>
  <c r="T240" i="4" l="1"/>
  <c r="V240" i="4" s="1"/>
  <c r="P241" i="4" s="1"/>
  <c r="S241" i="4" s="1"/>
  <c r="U240" i="4" l="1"/>
  <c r="R241" i="4"/>
  <c r="T241" i="4" l="1"/>
  <c r="V241" i="4" s="1"/>
  <c r="P242" i="4" s="1"/>
  <c r="S242" i="4" s="1"/>
  <c r="U241" i="4" l="1"/>
  <c r="R242" i="4"/>
  <c r="T242" i="4" l="1"/>
  <c r="V242" i="4" s="1"/>
  <c r="P243" i="4" s="1"/>
  <c r="S243" i="4" s="1"/>
  <c r="U242" i="4" l="1"/>
  <c r="R243" i="4"/>
  <c r="T243" i="4" l="1"/>
  <c r="V243" i="4" s="1"/>
  <c r="P244" i="4" s="1"/>
  <c r="S244" i="4" s="1"/>
  <c r="U243" i="4" l="1"/>
  <c r="R244" i="4"/>
  <c r="T244" i="4" l="1"/>
  <c r="V244" i="4" s="1"/>
  <c r="P245" i="4" s="1"/>
  <c r="S245" i="4" s="1"/>
  <c r="U244" i="4" l="1"/>
  <c r="R245" i="4"/>
  <c r="T245" i="4" l="1"/>
  <c r="V245" i="4" s="1"/>
  <c r="P246" i="4" s="1"/>
  <c r="S246" i="4" s="1"/>
  <c r="U245" i="4" l="1"/>
  <c r="R246" i="4"/>
  <c r="T246" i="4" l="1"/>
  <c r="V246" i="4" s="1"/>
  <c r="P247" i="4" s="1"/>
  <c r="S247" i="4" s="1"/>
  <c r="U246" i="4" l="1"/>
  <c r="R247" i="4"/>
  <c r="T247" i="4" l="1"/>
  <c r="V247" i="4" s="1"/>
  <c r="P248" i="4" s="1"/>
  <c r="S248" i="4" s="1"/>
  <c r="U247" i="4" l="1"/>
  <c r="R248" i="4"/>
  <c r="T248" i="4" l="1"/>
  <c r="V248" i="4" s="1"/>
  <c r="P249" i="4" s="1"/>
  <c r="S249" i="4" s="1"/>
  <c r="U248" i="4" l="1"/>
  <c r="R249" i="4"/>
  <c r="T249" i="4" l="1"/>
  <c r="V249" i="4" s="1"/>
  <c r="P250" i="4" s="1"/>
  <c r="S250" i="4" s="1"/>
  <c r="U249" i="4" l="1"/>
  <c r="R250" i="4"/>
  <c r="T250" i="4" l="1"/>
  <c r="V250" i="4" s="1"/>
  <c r="P251" i="4" s="1"/>
  <c r="S251" i="4" s="1"/>
  <c r="U250" i="4" l="1"/>
  <c r="R251" i="4"/>
  <c r="T251" i="4" l="1"/>
  <c r="V251" i="4" s="1"/>
  <c r="P252" i="4" s="1"/>
  <c r="S252" i="4" s="1"/>
  <c r="U251" i="4" l="1"/>
  <c r="R252" i="4"/>
  <c r="T252" i="4" l="1"/>
  <c r="V252" i="4" s="1"/>
  <c r="P253" i="4" s="1"/>
  <c r="S253" i="4" s="1"/>
  <c r="U252" i="4" l="1"/>
  <c r="R253" i="4"/>
  <c r="T253" i="4" l="1"/>
  <c r="V253" i="4" s="1"/>
  <c r="P254" i="4" s="1"/>
  <c r="S254" i="4" s="1"/>
  <c r="U253" i="4" l="1"/>
  <c r="R254" i="4"/>
  <c r="T254" i="4" l="1"/>
  <c r="V254" i="4" s="1"/>
  <c r="P255" i="4" s="1"/>
  <c r="S255" i="4" s="1"/>
  <c r="U254" i="4" l="1"/>
  <c r="R255" i="4"/>
  <c r="T255" i="4" l="1"/>
  <c r="V255" i="4" s="1"/>
  <c r="P256" i="4" s="1"/>
  <c r="S256" i="4" s="1"/>
  <c r="U255" i="4" l="1"/>
  <c r="R256" i="4"/>
  <c r="T256" i="4" l="1"/>
  <c r="V256" i="4" s="1"/>
  <c r="P257" i="4" s="1"/>
  <c r="S257" i="4" s="1"/>
  <c r="U256" i="4" l="1"/>
  <c r="R257" i="4"/>
  <c r="T257" i="4" l="1"/>
  <c r="V257" i="4" s="1"/>
  <c r="P258" i="4" s="1"/>
  <c r="S258" i="4" s="1"/>
  <c r="U257" i="4" l="1"/>
  <c r="R258" i="4"/>
  <c r="T258" i="4" l="1"/>
  <c r="V258" i="4" s="1"/>
  <c r="P259" i="4" s="1"/>
  <c r="S259" i="4" s="1"/>
  <c r="U258" i="4" l="1"/>
  <c r="R259" i="4"/>
  <c r="T259" i="4" l="1"/>
  <c r="V259" i="4" s="1"/>
  <c r="P260" i="4" s="1"/>
  <c r="S260" i="4" s="1"/>
  <c r="U259" i="4" l="1"/>
  <c r="R260" i="4"/>
  <c r="T260" i="4" l="1"/>
  <c r="V260" i="4" s="1"/>
  <c r="P261" i="4" s="1"/>
  <c r="S261" i="4" s="1"/>
  <c r="U260" i="4" l="1"/>
  <c r="R261" i="4"/>
  <c r="T261" i="4" l="1"/>
  <c r="V261" i="4" s="1"/>
  <c r="P262" i="4" s="1"/>
  <c r="S262" i="4" s="1"/>
  <c r="U261" i="4" l="1"/>
  <c r="R262" i="4"/>
  <c r="T262" i="4" l="1"/>
  <c r="V262" i="4" s="1"/>
  <c r="P263" i="4" s="1"/>
  <c r="S263" i="4" s="1"/>
  <c r="U262" i="4" l="1"/>
  <c r="R263" i="4"/>
  <c r="T263" i="4" l="1"/>
  <c r="V263" i="4" s="1"/>
  <c r="P264" i="4" s="1"/>
  <c r="S264" i="4" s="1"/>
  <c r="U263" i="4" l="1"/>
  <c r="R264" i="4"/>
  <c r="T264" i="4" l="1"/>
  <c r="V264" i="4" s="1"/>
  <c r="P265" i="4" s="1"/>
  <c r="S265" i="4" s="1"/>
  <c r="U264" i="4" l="1"/>
  <c r="R265" i="4"/>
  <c r="T265" i="4" l="1"/>
  <c r="V265" i="4" s="1"/>
  <c r="P266" i="4" s="1"/>
  <c r="S266" i="4" s="1"/>
  <c r="U265" i="4" l="1"/>
  <c r="R266" i="4"/>
  <c r="T266" i="4" l="1"/>
  <c r="V266" i="4" s="1"/>
  <c r="P267" i="4" s="1"/>
  <c r="S267" i="4" s="1"/>
  <c r="U266" i="4" l="1"/>
  <c r="R267" i="4"/>
  <c r="T267" i="4" l="1"/>
  <c r="V267" i="4" s="1"/>
  <c r="P268" i="4" s="1"/>
  <c r="S268" i="4" s="1"/>
  <c r="U267" i="4" l="1"/>
  <c r="R268" i="4"/>
  <c r="T268" i="4" l="1"/>
  <c r="V268" i="4" s="1"/>
  <c r="P269" i="4" s="1"/>
  <c r="S269" i="4" s="1"/>
  <c r="U268" i="4" l="1"/>
  <c r="R269" i="4"/>
  <c r="T269" i="4" l="1"/>
  <c r="V269" i="4" s="1"/>
  <c r="P270" i="4" s="1"/>
  <c r="S270" i="4" s="1"/>
  <c r="U269" i="4" l="1"/>
  <c r="R270" i="4"/>
  <c r="T270" i="4" l="1"/>
  <c r="V270" i="4" s="1"/>
  <c r="P271" i="4" s="1"/>
  <c r="S271" i="4" s="1"/>
  <c r="U270" i="4" l="1"/>
  <c r="R271" i="4"/>
  <c r="T271" i="4" l="1"/>
  <c r="V271" i="4" s="1"/>
  <c r="P272" i="4" s="1"/>
  <c r="S272" i="4" s="1"/>
  <c r="U271" i="4" l="1"/>
  <c r="R272" i="4"/>
  <c r="T272" i="4" l="1"/>
  <c r="V272" i="4" s="1"/>
  <c r="P273" i="4" s="1"/>
  <c r="S273" i="4" s="1"/>
  <c r="U272" i="4" l="1"/>
  <c r="R273" i="4"/>
  <c r="T273" i="4" l="1"/>
  <c r="V273" i="4" s="1"/>
  <c r="P274" i="4" s="1"/>
  <c r="S274" i="4" s="1"/>
  <c r="U273" i="4" l="1"/>
  <c r="R274" i="4"/>
  <c r="T274" i="4" l="1"/>
  <c r="V274" i="4" s="1"/>
  <c r="P275" i="4" s="1"/>
  <c r="S275" i="4" s="1"/>
  <c r="U274" i="4" l="1"/>
  <c r="R275" i="4"/>
  <c r="T275" i="4" l="1"/>
  <c r="V275" i="4" s="1"/>
  <c r="P276" i="4" s="1"/>
  <c r="S276" i="4" s="1"/>
  <c r="U275" i="4" l="1"/>
  <c r="R276" i="4"/>
  <c r="T276" i="4" l="1"/>
  <c r="V276" i="4" s="1"/>
  <c r="P277" i="4" s="1"/>
  <c r="S277" i="4" s="1"/>
  <c r="U276" i="4" l="1"/>
  <c r="R277" i="4"/>
  <c r="T277" i="4" l="1"/>
  <c r="V277" i="4" s="1"/>
  <c r="P278" i="4" s="1"/>
  <c r="S278" i="4" s="1"/>
  <c r="U277" i="4" l="1"/>
  <c r="R278" i="4"/>
  <c r="T278" i="4" l="1"/>
  <c r="V278" i="4" s="1"/>
  <c r="P279" i="4" s="1"/>
  <c r="S279" i="4" s="1"/>
  <c r="U278" i="4" l="1"/>
  <c r="R279" i="4"/>
  <c r="T279" i="4" l="1"/>
  <c r="V279" i="4" s="1"/>
  <c r="P280" i="4" s="1"/>
  <c r="S280" i="4" s="1"/>
  <c r="U279" i="4" l="1"/>
  <c r="R280" i="4"/>
  <c r="T280" i="4" l="1"/>
  <c r="V280" i="4" s="1"/>
  <c r="P281" i="4" s="1"/>
  <c r="S281" i="4" s="1"/>
  <c r="U280" i="4" l="1"/>
  <c r="R281" i="4"/>
  <c r="T281" i="4" l="1"/>
  <c r="V281" i="4" s="1"/>
  <c r="P282" i="4" s="1"/>
  <c r="S282" i="4" s="1"/>
  <c r="U281" i="4" l="1"/>
  <c r="R282" i="4"/>
  <c r="T282" i="4" l="1"/>
  <c r="V282" i="4" s="1"/>
  <c r="P283" i="4" s="1"/>
  <c r="S283" i="4" s="1"/>
  <c r="U282" i="4" l="1"/>
  <c r="R283" i="4"/>
  <c r="T283" i="4" l="1"/>
  <c r="V283" i="4" s="1"/>
  <c r="P284" i="4" s="1"/>
  <c r="S284" i="4" s="1"/>
  <c r="U283" i="4" l="1"/>
  <c r="R284" i="4"/>
  <c r="T284" i="4" l="1"/>
  <c r="V284" i="4" s="1"/>
  <c r="P285" i="4" s="1"/>
  <c r="S285" i="4" s="1"/>
  <c r="U284" i="4" l="1"/>
  <c r="R285" i="4"/>
  <c r="T285" i="4" l="1"/>
  <c r="V285" i="4" s="1"/>
  <c r="P286" i="4" s="1"/>
  <c r="S286" i="4" s="1"/>
  <c r="U285" i="4" l="1"/>
  <c r="R286" i="4"/>
  <c r="T286" i="4" l="1"/>
  <c r="V286" i="4" s="1"/>
  <c r="P287" i="4" s="1"/>
  <c r="S287" i="4" s="1"/>
  <c r="R287" i="4" l="1"/>
  <c r="U286" i="4"/>
  <c r="T287" i="4" l="1"/>
  <c r="V287" i="4" s="1"/>
  <c r="P288" i="4" s="1"/>
  <c r="S288" i="4" s="1"/>
  <c r="U287" i="4" l="1"/>
  <c r="R288" i="4"/>
  <c r="T288" i="4" l="1"/>
  <c r="V288" i="4" s="1"/>
  <c r="P289" i="4" s="1"/>
  <c r="S289" i="4" s="1"/>
  <c r="U288" i="4" l="1"/>
  <c r="R289" i="4"/>
  <c r="T289" i="4" l="1"/>
  <c r="V289" i="4" s="1"/>
  <c r="P290" i="4" s="1"/>
  <c r="S290" i="4" s="1"/>
  <c r="U289" i="4" l="1"/>
  <c r="R290" i="4"/>
  <c r="T290" i="4" l="1"/>
  <c r="V290" i="4" s="1"/>
  <c r="P291" i="4" s="1"/>
  <c r="S291" i="4" s="1"/>
  <c r="U290" i="4" l="1"/>
  <c r="R291" i="4"/>
  <c r="T291" i="4" l="1"/>
  <c r="V291" i="4" s="1"/>
  <c r="P292" i="4" s="1"/>
  <c r="S292" i="4" s="1"/>
  <c r="U291" i="4" l="1"/>
  <c r="R292" i="4"/>
  <c r="T292" i="4" l="1"/>
  <c r="V292" i="4" s="1"/>
  <c r="P293" i="4" s="1"/>
  <c r="S293" i="4" s="1"/>
  <c r="U292" i="4" l="1"/>
  <c r="R293" i="4"/>
  <c r="T293" i="4" l="1"/>
  <c r="V293" i="4" s="1"/>
  <c r="P294" i="4" s="1"/>
  <c r="S294" i="4" s="1"/>
  <c r="U293" i="4" l="1"/>
  <c r="R294" i="4"/>
  <c r="T294" i="4" l="1"/>
  <c r="V294" i="4" s="1"/>
  <c r="P295" i="4" s="1"/>
  <c r="S295" i="4" s="1"/>
  <c r="U294" i="4" l="1"/>
  <c r="R295" i="4"/>
  <c r="T295" i="4" l="1"/>
  <c r="V295" i="4" s="1"/>
  <c r="P296" i="4" s="1"/>
  <c r="S296" i="4" s="1"/>
  <c r="U295" i="4" l="1"/>
  <c r="R296" i="4"/>
  <c r="T296" i="4" l="1"/>
  <c r="V296" i="4" s="1"/>
  <c r="P297" i="4" s="1"/>
  <c r="S297" i="4" s="1"/>
  <c r="U296" i="4" l="1"/>
  <c r="R297" i="4"/>
  <c r="T297" i="4" l="1"/>
  <c r="V297" i="4" s="1"/>
  <c r="P298" i="4" s="1"/>
  <c r="S298" i="4" s="1"/>
  <c r="U297" i="4" l="1"/>
  <c r="R298" i="4"/>
  <c r="T298" i="4" l="1"/>
  <c r="V298" i="4" s="1"/>
  <c r="P299" i="4" s="1"/>
  <c r="S299" i="4" s="1"/>
  <c r="U298" i="4" l="1"/>
  <c r="R299" i="4"/>
  <c r="T299" i="4" l="1"/>
  <c r="V299" i="4" s="1"/>
  <c r="P300" i="4" s="1"/>
  <c r="S300" i="4" s="1"/>
  <c r="U299" i="4" l="1"/>
  <c r="R300" i="4"/>
  <c r="T300" i="4" l="1"/>
  <c r="V300" i="4" s="1"/>
  <c r="P301" i="4" s="1"/>
  <c r="S301" i="4" s="1"/>
  <c r="U300" i="4" l="1"/>
  <c r="R301" i="4"/>
  <c r="T301" i="4" l="1"/>
  <c r="V301" i="4" s="1"/>
  <c r="P302" i="4" s="1"/>
  <c r="S302" i="4" s="1"/>
  <c r="U301" i="4" l="1"/>
  <c r="R302" i="4"/>
  <c r="T302" i="4" l="1"/>
  <c r="V302" i="4" s="1"/>
  <c r="P303" i="4" s="1"/>
  <c r="S303" i="4" s="1"/>
  <c r="U302" i="4" l="1"/>
  <c r="R303" i="4"/>
  <c r="T303" i="4" l="1"/>
  <c r="V303" i="4" s="1"/>
  <c r="P304" i="4" s="1"/>
  <c r="S304" i="4" s="1"/>
  <c r="U303" i="4" l="1"/>
  <c r="R304" i="4"/>
  <c r="T304" i="4" l="1"/>
  <c r="V304" i="4" s="1"/>
  <c r="P305" i="4" s="1"/>
  <c r="S305" i="4" s="1"/>
  <c r="U304" i="4" l="1"/>
  <c r="R305" i="4"/>
  <c r="T305" i="4" l="1"/>
  <c r="V305" i="4" s="1"/>
  <c r="P306" i="4" s="1"/>
  <c r="S306" i="4" s="1"/>
  <c r="U305" i="4" l="1"/>
  <c r="R306" i="4"/>
  <c r="T306" i="4" l="1"/>
  <c r="V306" i="4" s="1"/>
  <c r="P307" i="4" s="1"/>
  <c r="S307" i="4" s="1"/>
  <c r="U306" i="4" l="1"/>
  <c r="R307" i="4"/>
  <c r="T307" i="4" l="1"/>
  <c r="V307" i="4" s="1"/>
  <c r="P308" i="4" s="1"/>
  <c r="S308" i="4" s="1"/>
  <c r="U307" i="4" l="1"/>
  <c r="R308" i="4"/>
  <c r="T308" i="4" l="1"/>
  <c r="V308" i="4" s="1"/>
  <c r="P309" i="4" s="1"/>
  <c r="S309" i="4" s="1"/>
  <c r="U308" i="4" l="1"/>
  <c r="R309" i="4"/>
  <c r="T309" i="4" l="1"/>
  <c r="V309" i="4" s="1"/>
  <c r="P310" i="4" s="1"/>
  <c r="S310" i="4" s="1"/>
  <c r="U309" i="4" l="1"/>
  <c r="R310" i="4"/>
  <c r="T310" i="4" l="1"/>
  <c r="V310" i="4" s="1"/>
  <c r="P311" i="4" s="1"/>
  <c r="S311" i="4" s="1"/>
  <c r="U310" i="4" l="1"/>
  <c r="R311" i="4"/>
  <c r="T311" i="4" l="1"/>
  <c r="V311" i="4" s="1"/>
  <c r="P312" i="4" s="1"/>
  <c r="S312" i="4" s="1"/>
  <c r="U311" i="4" l="1"/>
  <c r="R312" i="4"/>
  <c r="T312" i="4" l="1"/>
  <c r="V312" i="4" s="1"/>
  <c r="P313" i="4" s="1"/>
  <c r="S313" i="4" s="1"/>
  <c r="U312" i="4" l="1"/>
  <c r="R313" i="4"/>
  <c r="T313" i="4" l="1"/>
  <c r="V313" i="4" s="1"/>
  <c r="P314" i="4" s="1"/>
  <c r="S314" i="4" s="1"/>
  <c r="U313" i="4" l="1"/>
  <c r="R314" i="4"/>
  <c r="T314" i="4" l="1"/>
  <c r="V314" i="4" s="1"/>
  <c r="P315" i="4" s="1"/>
  <c r="S315" i="4" s="1"/>
  <c r="U314" i="4" l="1"/>
  <c r="R315" i="4"/>
  <c r="T315" i="4" l="1"/>
  <c r="V315" i="4" s="1"/>
  <c r="P316" i="4" s="1"/>
  <c r="S316" i="4" s="1"/>
  <c r="U315" i="4" l="1"/>
  <c r="R316" i="4"/>
  <c r="T316" i="4" l="1"/>
  <c r="V316" i="4" s="1"/>
  <c r="P317" i="4" s="1"/>
  <c r="S317" i="4" s="1"/>
  <c r="U316" i="4" l="1"/>
  <c r="R317" i="4"/>
  <c r="T317" i="4" l="1"/>
  <c r="V317" i="4" s="1"/>
  <c r="P318" i="4" s="1"/>
  <c r="S318" i="4" s="1"/>
  <c r="U317" i="4" l="1"/>
  <c r="R318" i="4"/>
  <c r="T318" i="4" l="1"/>
  <c r="V318" i="4" s="1"/>
  <c r="P319" i="4" s="1"/>
  <c r="S319" i="4" s="1"/>
  <c r="U318" i="4" l="1"/>
  <c r="R319" i="4"/>
  <c r="T319" i="4" l="1"/>
  <c r="V319" i="4" s="1"/>
  <c r="P320" i="4" s="1"/>
  <c r="S320" i="4" s="1"/>
  <c r="U319" i="4" l="1"/>
  <c r="R320" i="4"/>
  <c r="T320" i="4" l="1"/>
  <c r="V320" i="4" s="1"/>
  <c r="P321" i="4" s="1"/>
  <c r="S321" i="4" s="1"/>
  <c r="U320" i="4" l="1"/>
  <c r="R321" i="4"/>
  <c r="T321" i="4" l="1"/>
  <c r="V321" i="4" s="1"/>
  <c r="P322" i="4" s="1"/>
  <c r="S322" i="4" s="1"/>
  <c r="U321" i="4" l="1"/>
  <c r="R322" i="4"/>
  <c r="T322" i="4" l="1"/>
  <c r="V322" i="4" s="1"/>
  <c r="P323" i="4" s="1"/>
  <c r="S323" i="4" s="1"/>
  <c r="U322" i="4" l="1"/>
  <c r="R323" i="4"/>
  <c r="T323" i="4" l="1"/>
  <c r="V323" i="4" s="1"/>
  <c r="P324" i="4" s="1"/>
  <c r="S324" i="4" s="1"/>
  <c r="U323" i="4" l="1"/>
  <c r="R324" i="4"/>
  <c r="T324" i="4" l="1"/>
  <c r="V324" i="4" s="1"/>
  <c r="P325" i="4" s="1"/>
  <c r="S325" i="4" s="1"/>
  <c r="U324" i="4" l="1"/>
  <c r="R325" i="4"/>
  <c r="T325" i="4" l="1"/>
  <c r="V325" i="4" s="1"/>
  <c r="P326" i="4" s="1"/>
  <c r="S326" i="4" s="1"/>
  <c r="U325" i="4" l="1"/>
  <c r="R326" i="4"/>
  <c r="T326" i="4" l="1"/>
  <c r="V326" i="4" s="1"/>
  <c r="P327" i="4" s="1"/>
  <c r="S327" i="4" s="1"/>
  <c r="U326" i="4" l="1"/>
  <c r="R327" i="4"/>
  <c r="T327" i="4" l="1"/>
  <c r="V327" i="4" s="1"/>
  <c r="P328" i="4" s="1"/>
  <c r="S328" i="4" s="1"/>
  <c r="U327" i="4" l="1"/>
  <c r="R328" i="4"/>
  <c r="T328" i="4" l="1"/>
  <c r="V328" i="4" s="1"/>
  <c r="P329" i="4" s="1"/>
  <c r="S329" i="4" s="1"/>
  <c r="U328" i="4" l="1"/>
  <c r="R329" i="4"/>
  <c r="T329" i="4" l="1"/>
  <c r="V329" i="4" s="1"/>
  <c r="P330" i="4" s="1"/>
  <c r="S330" i="4" s="1"/>
  <c r="U329" i="4" l="1"/>
  <c r="R330" i="4"/>
  <c r="T330" i="4" l="1"/>
  <c r="V330" i="4" s="1"/>
  <c r="P331" i="4" s="1"/>
  <c r="S331" i="4" s="1"/>
  <c r="U330" i="4" l="1"/>
  <c r="R331" i="4"/>
  <c r="T331" i="4" l="1"/>
  <c r="V331" i="4" s="1"/>
  <c r="P332" i="4" s="1"/>
  <c r="S332" i="4" s="1"/>
  <c r="U331" i="4" l="1"/>
  <c r="R332" i="4"/>
  <c r="T332" i="4" l="1"/>
  <c r="V332" i="4" s="1"/>
  <c r="P333" i="4" s="1"/>
  <c r="S333" i="4" s="1"/>
  <c r="U332" i="4" l="1"/>
  <c r="R333" i="4"/>
  <c r="T333" i="4" l="1"/>
  <c r="V333" i="4" s="1"/>
  <c r="P334" i="4" s="1"/>
  <c r="S334" i="4" s="1"/>
  <c r="U333" i="4" l="1"/>
  <c r="R334" i="4"/>
  <c r="T334" i="4" l="1"/>
  <c r="V334" i="4" s="1"/>
  <c r="P335" i="4" s="1"/>
  <c r="S335" i="4" s="1"/>
  <c r="U334" i="4" l="1"/>
  <c r="R335" i="4"/>
  <c r="T335" i="4" l="1"/>
  <c r="V335" i="4" s="1"/>
  <c r="P336" i="4" s="1"/>
  <c r="S336" i="4" s="1"/>
  <c r="U335" i="4" l="1"/>
  <c r="R336" i="4"/>
  <c r="T336" i="4" l="1"/>
  <c r="V336" i="4" s="1"/>
  <c r="P337" i="4" s="1"/>
  <c r="S337" i="4" s="1"/>
  <c r="U336" i="4" l="1"/>
  <c r="R337" i="4"/>
  <c r="T337" i="4" l="1"/>
  <c r="V337" i="4" s="1"/>
  <c r="P338" i="4" s="1"/>
  <c r="S338" i="4" s="1"/>
  <c r="U337" i="4" l="1"/>
  <c r="R338" i="4"/>
  <c r="T338" i="4" l="1"/>
  <c r="V338" i="4" s="1"/>
  <c r="P339" i="4" s="1"/>
  <c r="S339" i="4" s="1"/>
  <c r="U338" i="4" l="1"/>
  <c r="R339" i="4"/>
  <c r="T339" i="4" l="1"/>
  <c r="V339" i="4" s="1"/>
  <c r="P340" i="4" s="1"/>
  <c r="S340" i="4" s="1"/>
  <c r="U339" i="4" l="1"/>
  <c r="R340" i="4"/>
  <c r="T340" i="4" l="1"/>
  <c r="V340" i="4" s="1"/>
  <c r="P341" i="4" s="1"/>
  <c r="S341" i="4" s="1"/>
  <c r="U340" i="4" l="1"/>
  <c r="R341" i="4"/>
  <c r="T341" i="4" l="1"/>
  <c r="V341" i="4" s="1"/>
  <c r="P342" i="4" s="1"/>
  <c r="S342" i="4" s="1"/>
  <c r="U341" i="4" l="1"/>
  <c r="R342" i="4"/>
  <c r="T342" i="4" l="1"/>
  <c r="V342" i="4" s="1"/>
  <c r="P343" i="4" s="1"/>
  <c r="S343" i="4" s="1"/>
  <c r="U342" i="4" l="1"/>
  <c r="R343" i="4"/>
  <c r="T343" i="4" l="1"/>
  <c r="V343" i="4" s="1"/>
  <c r="P344" i="4" s="1"/>
  <c r="S344" i="4" s="1"/>
  <c r="U343" i="4" l="1"/>
  <c r="R344" i="4"/>
  <c r="T344" i="4" l="1"/>
  <c r="V344" i="4" s="1"/>
  <c r="P345" i="4" s="1"/>
  <c r="S345" i="4" s="1"/>
  <c r="U344" i="4" l="1"/>
  <c r="R345" i="4"/>
  <c r="T345" i="4" l="1"/>
  <c r="V345" i="4" s="1"/>
  <c r="P346" i="4" s="1"/>
  <c r="S346" i="4" s="1"/>
  <c r="U345" i="4" l="1"/>
  <c r="R346" i="4"/>
  <c r="T346" i="4" l="1"/>
  <c r="V346" i="4" s="1"/>
  <c r="P347" i="4" s="1"/>
  <c r="S347" i="4" s="1"/>
  <c r="U346" i="4" l="1"/>
  <c r="R347" i="4"/>
  <c r="T347" i="4" l="1"/>
  <c r="V347" i="4" s="1"/>
  <c r="P348" i="4" s="1"/>
  <c r="S348" i="4" s="1"/>
  <c r="U347" i="4" l="1"/>
  <c r="R348" i="4"/>
  <c r="T348" i="4" l="1"/>
  <c r="V348" i="4" s="1"/>
  <c r="P349" i="4" s="1"/>
  <c r="S349" i="4" s="1"/>
  <c r="U348" i="4" l="1"/>
  <c r="R349" i="4"/>
  <c r="T349" i="4" l="1"/>
  <c r="V349" i="4" s="1"/>
  <c r="P350" i="4" s="1"/>
  <c r="S350" i="4" s="1"/>
  <c r="U349" i="4" l="1"/>
  <c r="R350" i="4"/>
  <c r="T350" i="4" l="1"/>
  <c r="V350" i="4" s="1"/>
  <c r="P351" i="4" s="1"/>
  <c r="S351" i="4" s="1"/>
  <c r="U350" i="4" l="1"/>
  <c r="R351" i="4"/>
  <c r="T351" i="4" l="1"/>
  <c r="V351" i="4" s="1"/>
  <c r="P352" i="4" s="1"/>
  <c r="S352" i="4" s="1"/>
  <c r="U351" i="4" l="1"/>
  <c r="R352" i="4"/>
  <c r="T352" i="4" l="1"/>
  <c r="V352" i="4" s="1"/>
  <c r="P353" i="4" s="1"/>
  <c r="S353" i="4" s="1"/>
  <c r="U352" i="4" l="1"/>
  <c r="R353" i="4"/>
  <c r="T353" i="4" l="1"/>
  <c r="V353" i="4" s="1"/>
  <c r="P354" i="4" s="1"/>
  <c r="S354" i="4" s="1"/>
  <c r="U353" i="4" l="1"/>
  <c r="R354" i="4"/>
  <c r="T354" i="4" l="1"/>
  <c r="V354" i="4" s="1"/>
  <c r="P355" i="4" s="1"/>
  <c r="S355" i="4" s="1"/>
  <c r="U354" i="4" l="1"/>
  <c r="R355" i="4"/>
  <c r="T355" i="4" l="1"/>
  <c r="V355" i="4" s="1"/>
  <c r="P356" i="4" s="1"/>
  <c r="S356" i="4" s="1"/>
  <c r="U355" i="4" l="1"/>
  <c r="R356" i="4"/>
  <c r="T356" i="4" l="1"/>
  <c r="V356" i="4" s="1"/>
  <c r="P357" i="4" s="1"/>
  <c r="S357" i="4" s="1"/>
  <c r="U356" i="4" l="1"/>
  <c r="R357" i="4"/>
  <c r="T357" i="4" l="1"/>
  <c r="V357" i="4" s="1"/>
  <c r="P358" i="4" s="1"/>
  <c r="S358" i="4" s="1"/>
  <c r="U357" i="4" l="1"/>
  <c r="R358" i="4"/>
  <c r="T358" i="4" l="1"/>
  <c r="V358" i="4" s="1"/>
  <c r="P359" i="4" s="1"/>
  <c r="S359" i="4" s="1"/>
  <c r="U358" i="4" l="1"/>
  <c r="R359" i="4"/>
  <c r="T359" i="4" l="1"/>
  <c r="V359" i="4" s="1"/>
  <c r="P360" i="4" s="1"/>
  <c r="S360" i="4" s="1"/>
  <c r="U359" i="4" l="1"/>
  <c r="R360" i="4"/>
  <c r="T360" i="4" l="1"/>
  <c r="V360" i="4" s="1"/>
  <c r="P361" i="4" s="1"/>
  <c r="S361" i="4" s="1"/>
  <c r="U360" i="4" l="1"/>
  <c r="R361" i="4"/>
  <c r="T361" i="4" l="1"/>
  <c r="V361" i="4" s="1"/>
  <c r="P362" i="4" s="1"/>
  <c r="S362" i="4" s="1"/>
  <c r="U361" i="4" l="1"/>
  <c r="R362" i="4"/>
  <c r="T362" i="4" l="1"/>
  <c r="V362" i="4" s="1"/>
  <c r="P363" i="4" s="1"/>
  <c r="S363" i="4" s="1"/>
  <c r="U362" i="4" l="1"/>
  <c r="R363" i="4"/>
  <c r="T363" i="4" l="1"/>
  <c r="V363" i="4" s="1"/>
  <c r="P364" i="4" s="1"/>
  <c r="S364" i="4" s="1"/>
  <c r="U363" i="4" l="1"/>
  <c r="R364" i="4"/>
  <c r="T364" i="4" l="1"/>
  <c r="V364" i="4" s="1"/>
  <c r="P365" i="4" s="1"/>
  <c r="S365" i="4" s="1"/>
  <c r="U364" i="4" l="1"/>
  <c r="R365" i="4"/>
  <c r="T365" i="4" l="1"/>
  <c r="V365" i="4" s="1"/>
  <c r="P366" i="4" s="1"/>
  <c r="S366" i="4" s="1"/>
  <c r="U365" i="4" l="1"/>
  <c r="R366" i="4"/>
  <c r="T366" i="4" l="1"/>
  <c r="V366" i="4" s="1"/>
  <c r="P367" i="4" s="1"/>
  <c r="S367" i="4" s="1"/>
  <c r="U366" i="4" l="1"/>
  <c r="R367" i="4"/>
  <c r="T367" i="4" l="1"/>
  <c r="V367" i="4" s="1"/>
  <c r="U367" i="4" l="1"/>
</calcChain>
</file>

<file path=xl/sharedStrings.xml><?xml version="1.0" encoding="utf-8"?>
<sst xmlns="http://schemas.openxmlformats.org/spreadsheetml/2006/main" count="59" uniqueCount="29">
  <si>
    <t>Balance</t>
  </si>
  <si>
    <t>LoanRate</t>
  </si>
  <si>
    <t>LoanSpread</t>
  </si>
  <si>
    <t>Beg Balance</t>
  </si>
  <si>
    <t>Interest</t>
  </si>
  <si>
    <t>Principal</t>
  </si>
  <si>
    <t>End Balance</t>
  </si>
  <si>
    <t>PI</t>
  </si>
  <si>
    <t>Maturity</t>
  </si>
  <si>
    <t>Resetting Period</t>
  </si>
  <si>
    <t>Collections</t>
  </si>
  <si>
    <t>Fixed Or ARM</t>
  </si>
  <si>
    <t>PI or IO</t>
  </si>
  <si>
    <t>Time</t>
  </si>
  <si>
    <t>Forward Libor Rates</t>
  </si>
  <si>
    <t>Month</t>
  </si>
  <si>
    <t>ARM</t>
  </si>
  <si>
    <t>Rate</t>
  </si>
  <si>
    <t>Load the Loan</t>
  </si>
  <si>
    <t>Fixed</t>
  </si>
  <si>
    <t>IO</t>
  </si>
  <si>
    <t>PMT</t>
  </si>
  <si>
    <t>3 - Excel</t>
  </si>
  <si>
    <t>1 - C# and ExcelDNA</t>
  </si>
  <si>
    <t>Load LiborCurve</t>
  </si>
  <si>
    <t>end ==&gt;</t>
  </si>
  <si>
    <t>Check</t>
  </si>
  <si>
    <t>Run Amortization</t>
  </si>
  <si>
    <t>2 - C#, ExcelDNA and managing object lifetime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</si>
</sst>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yyyy\-mm\-dd;@"/>
    <numFmt numFmtId="165" formatCode="0.000"/>
    <numFmt numFmtId="166" formatCode="0.0000"/>
    <numFmt numFmtId="167" formatCode="0.00000"/>
    <numFmt numFmtId="168" formatCode="_-* #,##0.000000_-;\-* #,##0.000000_-;_-* &quot;-&quot;??_-;_-@_-"/>
    <numFmt numFmtId="169" formatCode="#,##0.0000"/>
  </numFmts>
  <fonts count="6" x14ac:knownFonts="1">
    <font>
      <sz val="10"/>
      <color rgb="FF000000"/>
      <name val="Times New Roman"/>
      <charset val="204"/>
    </font>
    <font>
      <sz val="10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0"/>
      <color rgb="FFFF0000"/>
      <name val="Times New Roman"/>
      <family val="1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DFEB4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36">
    <xf numFmtId="0" fontId="0" fillId="0" borderId="0" xfId="0" applyFill="1" applyBorder="1" applyAlignment="1">
      <alignment horizontal="left" vertical="top"/>
    </xf>
    <xf numFmtId="164" fontId="0" fillId="0" borderId="0" xfId="0" applyNumberFormat="1" applyFill="1" applyBorder="1" applyAlignment="1">
      <alignment horizontal="left" vertical="top"/>
    </xf>
    <xf numFmtId="0" fontId="1" fillId="0" borderId="0" xfId="0" applyFont="1" applyFill="1" applyBorder="1" applyAlignment="1">
      <alignment horizontal="left" vertical="top"/>
    </xf>
    <xf numFmtId="2" fontId="0" fillId="0" borderId="0" xfId="0" applyNumberFormat="1" applyFill="1" applyBorder="1" applyAlignment="1">
      <alignment horizontal="center" vertical="top"/>
    </xf>
    <xf numFmtId="4" fontId="0" fillId="2" borderId="0" xfId="0" applyNumberFormat="1" applyFill="1" applyBorder="1" applyAlignment="1">
      <alignment horizontal="center" vertical="top"/>
    </xf>
    <xf numFmtId="0" fontId="0" fillId="0" borderId="0" xfId="0" applyFill="1" applyBorder="1" applyAlignment="1">
      <alignment horizontal="center" vertical="top"/>
    </xf>
    <xf numFmtId="0" fontId="0" fillId="3" borderId="0" xfId="0" applyFill="1" applyBorder="1" applyAlignment="1">
      <alignment horizontal="center" vertical="top"/>
    </xf>
    <xf numFmtId="2" fontId="0" fillId="3" borderId="0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1" fillId="6" borderId="0" xfId="0" applyFont="1" applyFill="1" applyBorder="1" applyAlignment="1">
      <alignment horizontal="center" vertical="top"/>
    </xf>
    <xf numFmtId="0" fontId="0" fillId="6" borderId="0" xfId="0" applyFill="1" applyBorder="1" applyAlignment="1">
      <alignment horizontal="center" vertical="top"/>
    </xf>
    <xf numFmtId="0" fontId="1" fillId="0" borderId="0" xfId="0" applyFont="1" applyFill="1" applyBorder="1" applyAlignment="1">
      <alignment horizontal="center" vertical="top"/>
    </xf>
    <xf numFmtId="0" fontId="4" fillId="0" borderId="0" xfId="0" applyFont="1" applyFill="1" applyBorder="1" applyAlignment="1">
      <alignment horizontal="center" vertical="top"/>
    </xf>
    <xf numFmtId="2" fontId="1" fillId="0" borderId="0" xfId="0" applyNumberFormat="1" applyFont="1" applyFill="1" applyBorder="1" applyAlignment="1">
      <alignment horizontal="center" vertical="top"/>
    </xf>
    <xf numFmtId="166" fontId="0" fillId="0" borderId="0" xfId="0" applyNumberFormat="1" applyFill="1" applyBorder="1" applyAlignment="1">
      <alignment horizontal="center" vertical="top"/>
    </xf>
    <xf numFmtId="165" fontId="0" fillId="0" borderId="0" xfId="0" applyNumberFormat="1" applyFill="1" applyBorder="1" applyAlignment="1">
      <alignment horizontal="center" vertical="top"/>
    </xf>
    <xf numFmtId="0" fontId="3" fillId="0" borderId="0" xfId="0" applyFont="1" applyFill="1" applyBorder="1" applyAlignment="1">
      <alignment horizontal="center" vertical="top"/>
    </xf>
    <xf numFmtId="0" fontId="0" fillId="7" borderId="0" xfId="0" applyFill="1" applyBorder="1" applyAlignment="1">
      <alignment horizontal="center" vertical="top"/>
    </xf>
    <xf numFmtId="165" fontId="0" fillId="7" borderId="0" xfId="0" applyNumberFormat="1" applyFill="1" applyBorder="1" applyAlignment="1">
      <alignment horizontal="center" vertical="top"/>
    </xf>
    <xf numFmtId="1" fontId="0" fillId="7" borderId="0" xfId="0" applyNumberFormat="1" applyFill="1" applyBorder="1" applyAlignment="1">
      <alignment horizontal="center" vertical="top"/>
    </xf>
    <xf numFmtId="2" fontId="1" fillId="0" borderId="0" xfId="0" applyNumberFormat="1" applyFont="1" applyFill="1" applyBorder="1" applyAlignment="1">
      <alignment horizontal="left" vertical="top"/>
    </xf>
    <xf numFmtId="166" fontId="1" fillId="0" borderId="0" xfId="0" applyNumberFormat="1" applyFont="1" applyFill="1" applyBorder="1" applyAlignment="1">
      <alignment horizontal="center" vertical="top"/>
    </xf>
    <xf numFmtId="0" fontId="0" fillId="2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0" xfId="0" applyFill="1" applyBorder="1" applyAlignment="1">
      <alignment horizontal="center" vertical="top"/>
    </xf>
    <xf numFmtId="2" fontId="0" fillId="5" borderId="0" xfId="0" applyNumberFormat="1" applyFill="1" applyBorder="1" applyAlignment="1">
      <alignment horizontal="center" vertical="top"/>
    </xf>
    <xf numFmtId="0" fontId="1" fillId="5" borderId="0" xfId="0" applyFont="1" applyFill="1" applyBorder="1" applyAlignment="1">
      <alignment horizontal="center" vertical="top"/>
    </xf>
    <xf numFmtId="166" fontId="4" fillId="0" borderId="0" xfId="0" applyNumberFormat="1" applyFont="1" applyFill="1" applyBorder="1" applyAlignment="1">
      <alignment horizontal="center" vertical="top"/>
    </xf>
    <xf numFmtId="2" fontId="0" fillId="0" borderId="0" xfId="0" applyNumberFormat="1" applyFill="1" applyBorder="1" applyAlignment="1">
      <alignment horizontal="right" vertical="top"/>
    </xf>
    <xf numFmtId="0" fontId="0" fillId="0" borderId="0" xfId="0" applyFill="1" applyBorder="1" applyAlignment="1">
      <alignment horizontal="right" vertical="top"/>
    </xf>
    <xf numFmtId="0" fontId="1" fillId="0" borderId="0" xfId="0" applyFont="1" applyFill="1" applyBorder="1" applyAlignment="1">
      <alignment horizontal="right" vertical="top"/>
    </xf>
    <xf numFmtId="167" fontId="0" fillId="8" borderId="0" xfId="0" applyNumberFormat="1" applyFill="1" applyBorder="1" applyAlignment="1">
      <alignment horizontal="center" vertical="top"/>
    </xf>
    <xf numFmtId="10" fontId="0" fillId="0" borderId="0" xfId="0" applyNumberFormat="1" applyFill="1" applyBorder="1" applyAlignment="1">
      <alignment horizontal="left" vertical="top"/>
    </xf>
    <xf numFmtId="168" fontId="0" fillId="0" borderId="0" xfId="1" applyNumberFormat="1" applyFont="1" applyFill="1" applyBorder="1" applyAlignment="1">
      <alignment horizontal="center" vertical="center"/>
    </xf>
    <xf numFmtId="169" fontId="0" fillId="7" borderId="0" xfId="0" applyNumberFormat="1" applyFill="1" applyBorder="1" applyAlignment="1">
      <alignment horizontal="center" vertical="top"/>
    </xf>
    <xf numFmtId="167" fontId="0" fillId="0" borderId="0" xfId="0" applyNumberFormat="1" applyFill="1" applyBorder="1" applyAlignment="1">
      <alignment horizontal="left" vertical="top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colors>
    <mruColors>
      <color rgb="FFDDFE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98caf8d7c47b41feb4330c75bf91c7ef">
      <tp>
        <v>-1</v>
        <stp/>
        <stp>6364f679-b5e8-45f9-acc6-d145cc92a3a5</stp>
        <tr r="J5" s="4"/>
      </tp>
    </main>
    <main first="rtdsrv.98caf8d7c47b41feb4330c75bf91c7ef">
      <tp>
        <v>-1</v>
        <stp/>
        <stp>ede364d5-061b-41e0-b931-5c1822d2b4a3</stp>
        <tr r="J4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volatileDependencies" Target="volatileDependencies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466725</xdr:colOff>
          <xdr:row>0</xdr:row>
          <xdr:rowOff>66675</xdr:rowOff>
        </xdr:from>
        <xdr:to>
          <xdr:col>4</xdr:col>
          <xdr:colOff>276225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Run Amortisation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428625</xdr:colOff>
          <xdr:row>0</xdr:row>
          <xdr:rowOff>66675</xdr:rowOff>
        </xdr:from>
        <xdr:to>
          <xdr:col>6</xdr:col>
          <xdr:colOff>933450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B6BC8-2017-4512-923F-7CA365C76466}">
  <sheetPr codeName="Sheet3"/>
  <dimension ref="A1:Y369"/>
  <sheetViews>
    <sheetView showGridLines="0" tabSelected="1" workbookViewId="0">
      <selection activeCell="X8" sqref="X8"/>
    </sheetView>
  </sheetViews>
  <sheetFormatPr defaultRowHeight="12.75" x14ac:dyDescent="0.2"/>
  <cols>
    <col min="1" max="1" width="12.33203125" bestFit="1" customWidth="1"/>
    <col min="2" max="2" width="10.6640625" bestFit="1" customWidth="1"/>
    <col min="3" max="3" width="12" bestFit="1" customWidth="1"/>
    <col min="4" max="4" width="12.5" bestFit="1" customWidth="1"/>
    <col min="5" max="5" width="16.6640625" bestFit="1" customWidth="1"/>
    <col min="6" max="6" width="17.83203125" bestFit="1" customWidth="1"/>
    <col min="7" max="7" width="17" customWidth="1"/>
    <col min="8" max="8" width="3.6640625" customWidth="1"/>
    <col min="9" max="9" width="17.33203125" customWidth="1"/>
    <col min="10" max="10" width="18.5" bestFit="1" customWidth="1"/>
    <col min="11" max="11" width="8.83203125" bestFit="1" customWidth="1"/>
    <col min="12" max="12" width="12.5" bestFit="1" customWidth="1"/>
    <col min="13" max="13" width="17" customWidth="1"/>
    <col min="14" max="14" width="3" customWidth="1"/>
    <col min="16" max="16" width="12.1640625" bestFit="1" customWidth="1"/>
    <col min="17" max="17" width="7.5" bestFit="1" customWidth="1"/>
    <col min="18" max="19" width="11.6640625" customWidth="1"/>
    <col min="20" max="20" width="9.6640625" bestFit="1" customWidth="1"/>
    <col min="21" max="21" width="11.33203125" bestFit="1" customWidth="1"/>
    <col min="22" max="22" width="12.33203125" bestFit="1" customWidth="1"/>
  </cols>
  <sheetData>
    <row r="1" spans="1:22" x14ac:dyDescent="0.2">
      <c r="A1" s="12" t="s">
        <v>0</v>
      </c>
      <c r="B1" s="12" t="s">
        <v>1</v>
      </c>
      <c r="C1" s="12" t="s">
        <v>2</v>
      </c>
      <c r="D1" s="12" t="s">
        <v>8</v>
      </c>
      <c r="E1" s="12" t="s">
        <v>9</v>
      </c>
      <c r="F1" s="12" t="s">
        <v>11</v>
      </c>
      <c r="G1" s="12" t="s">
        <v>12</v>
      </c>
    </row>
    <row r="2" spans="1:22" x14ac:dyDescent="0.2">
      <c r="A2" s="6">
        <f>Balance</f>
        <v>377</v>
      </c>
      <c r="B2" s="7">
        <f>Rate</f>
        <v>0.08</v>
      </c>
      <c r="C2" s="7">
        <f>Spread</f>
        <v>1.8200000000000001E-2</v>
      </c>
      <c r="D2" s="7">
        <f>Maturity</f>
        <v>120</v>
      </c>
      <c r="E2" s="7">
        <f>ReSetting</f>
        <v>24</v>
      </c>
      <c r="F2" s="7" t="str">
        <f>LoanType</f>
        <v>ARM</v>
      </c>
      <c r="G2" s="7" t="str">
        <f>RepaymentType</f>
        <v>PI</v>
      </c>
    </row>
    <row r="3" spans="1:22" x14ac:dyDescent="0.2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</row>
    <row r="4" spans="1:22" x14ac:dyDescent="0.2">
      <c r="B4" s="23"/>
      <c r="G4" s="12" t="s">
        <v>26</v>
      </c>
      <c r="H4" s="23"/>
      <c r="I4" s="2" t="s">
        <v>24</v>
      </c>
      <c r="J4" s="22" t="str">
        <f>_xll.LiborCurve_create(LiborCurve)</f>
        <v>#LiborRate:0</v>
      </c>
      <c r="M4" s="12" t="s">
        <v>26</v>
      </c>
      <c r="N4" s="23"/>
      <c r="V4" s="12" t="s">
        <v>26</v>
      </c>
    </row>
    <row r="5" spans="1:22" x14ac:dyDescent="0.2">
      <c r="B5" s="23"/>
      <c r="G5" s="27">
        <f ca="1">OFFSET(G7,$E$2+1,0)</f>
        <v>320.55342142074011</v>
      </c>
      <c r="H5" s="23"/>
      <c r="I5" s="2" t="s">
        <v>18</v>
      </c>
      <c r="J5" s="22" t="str">
        <f>_xll.MortgageLoan_create(A2,B2,C2,D2,E2,F2,G2,LoadLiborCurve)</f>
        <v>#MortgageLoan:5</v>
      </c>
      <c r="M5" s="27">
        <f ca="1">OFFSET(M7,$E$2+1,0)</f>
        <v>320.55342142074011</v>
      </c>
      <c r="N5" s="23"/>
      <c r="V5" s="27">
        <f ca="1">OFFSET(V7,$E$2+1,0)</f>
        <v>320.55342142074068</v>
      </c>
    </row>
    <row r="6" spans="1:22" x14ac:dyDescent="0.2">
      <c r="B6" s="23"/>
      <c r="C6" s="20" t="s">
        <v>23</v>
      </c>
      <c r="D6" s="3"/>
      <c r="E6" s="3"/>
      <c r="F6" s="3"/>
      <c r="G6" s="3"/>
      <c r="H6" s="23"/>
      <c r="I6" s="20" t="s">
        <v>28</v>
      </c>
      <c r="J6" s="3"/>
      <c r="K6" s="3"/>
      <c r="L6" s="3"/>
      <c r="M6" s="3"/>
      <c r="N6" s="23"/>
      <c r="O6" s="2" t="s">
        <v>22</v>
      </c>
      <c r="P6" s="13"/>
      <c r="R6" s="3"/>
      <c r="S6" s="3"/>
      <c r="T6" s="3"/>
      <c r="U6" s="3"/>
    </row>
    <row r="7" spans="1:22" x14ac:dyDescent="0.2">
      <c r="A7" s="12" t="s">
        <v>15</v>
      </c>
      <c r="B7" s="23"/>
      <c r="C7" s="5" t="s">
        <v>3</v>
      </c>
      <c r="D7" s="5" t="s">
        <v>4</v>
      </c>
      <c r="E7" s="5" t="s">
        <v>5</v>
      </c>
      <c r="F7" s="11" t="s">
        <v>10</v>
      </c>
      <c r="G7" s="5" t="s">
        <v>6</v>
      </c>
      <c r="H7" s="23"/>
      <c r="I7" s="5" t="s">
        <v>3</v>
      </c>
      <c r="J7" s="5" t="s">
        <v>4</v>
      </c>
      <c r="K7" s="5" t="s">
        <v>5</v>
      </c>
      <c r="L7" s="11" t="s">
        <v>10</v>
      </c>
      <c r="M7" s="5" t="s">
        <v>6</v>
      </c>
      <c r="N7" s="23"/>
      <c r="O7" s="2" t="s">
        <v>15</v>
      </c>
      <c r="P7" s="5" t="s">
        <v>3</v>
      </c>
      <c r="Q7" s="11" t="s">
        <v>17</v>
      </c>
      <c r="R7" s="5" t="s">
        <v>4</v>
      </c>
      <c r="S7" s="11" t="s">
        <v>21</v>
      </c>
      <c r="T7" s="5" t="s">
        <v>5</v>
      </c>
      <c r="U7" s="11" t="s">
        <v>10</v>
      </c>
      <c r="V7" s="5" t="s">
        <v>6</v>
      </c>
    </row>
    <row r="8" spans="1:22" x14ac:dyDescent="0.2">
      <c r="A8" s="8">
        <v>1</v>
      </c>
      <c r="B8" s="23"/>
      <c r="C8" s="14">
        <f t="array" ref="C8:G367">_xll.LoanAmortisation(A2,B2,C2,D2,E2,F2,G2,LiborCurve!$A$2:$A$361)</f>
        <v>377</v>
      </c>
      <c r="D8" s="14">
        <v>2.5133333333333332</v>
      </c>
      <c r="E8" s="14">
        <v>2.0607169738636544</v>
      </c>
      <c r="F8" s="14">
        <v>4.5740503071969876</v>
      </c>
      <c r="G8" s="14">
        <v>374.93928302613637</v>
      </c>
      <c r="H8" s="23"/>
      <c r="I8" s="21">
        <f t="array" ref="I8:M367">_xll.MortgageLoan_CashFlows(LoadMortgageLoan)</f>
        <v>377</v>
      </c>
      <c r="J8" s="21">
        <v>2.5133333333333332</v>
      </c>
      <c r="K8" s="21">
        <v>2.0607169738636544</v>
      </c>
      <c r="L8" s="21">
        <v>4.5740503071969876</v>
      </c>
      <c r="M8" s="21">
        <v>374.93928302613637</v>
      </c>
      <c r="N8" s="23"/>
      <c r="O8" s="5">
        <v>1</v>
      </c>
      <c r="P8" s="8">
        <f>A2</f>
        <v>377</v>
      </c>
      <c r="Q8" s="5">
        <f ca="1">IF(O8&gt;$D$2,0,IF($F$2=Choices!$A$2,IF(O8&gt;$E$2,OFFSET(LiborCurve!$A$1,O8,0)+$C$2,$B$2),$B$2))</f>
        <v>0.08</v>
      </c>
      <c r="R8" s="14">
        <f ca="1">P8*Q8/12</f>
        <v>2.5133333333333332</v>
      </c>
      <c r="S8" s="14">
        <f ca="1">IF(O8&gt;$D$2,0,IF($G$2=Choices!$B$1,-PMT(Q8/12,$D$2-(O8-1),P8),0))</f>
        <v>4.5740503071969556</v>
      </c>
      <c r="T8" s="14">
        <f ca="1">IF(AND($G$2=Choices!$B$2,O8=$D$2),P8,IF(AND($G$2=Choices!$B$2,O8&lt;$D$2),0,S8-R8))</f>
        <v>2.0607169738636224</v>
      </c>
      <c r="U8" s="14">
        <f ca="1">R8+T8</f>
        <v>4.5740503071969556</v>
      </c>
      <c r="V8" s="14">
        <f ca="1">P8-T8</f>
        <v>374.93928302613637</v>
      </c>
    </row>
    <row r="9" spans="1:22" x14ac:dyDescent="0.2">
      <c r="A9" s="5">
        <f>A8+1</f>
        <v>2</v>
      </c>
      <c r="B9" s="23"/>
      <c r="C9" s="14">
        <v>374.93928302613637</v>
      </c>
      <c r="D9" s="14">
        <v>2.4995952201742426</v>
      </c>
      <c r="E9" s="14">
        <v>2.0744550870227449</v>
      </c>
      <c r="F9" s="14">
        <v>4.5740503071969876</v>
      </c>
      <c r="G9" s="14">
        <v>372.86482793911364</v>
      </c>
      <c r="H9" s="23"/>
      <c r="I9" s="21">
        <v>374.93928302613637</v>
      </c>
      <c r="J9" s="21">
        <v>2.4995952201742426</v>
      </c>
      <c r="K9" s="21">
        <v>2.0744550870227449</v>
      </c>
      <c r="L9" s="21">
        <v>4.5740503071969876</v>
      </c>
      <c r="M9" s="21">
        <v>372.86482793911364</v>
      </c>
      <c r="N9" s="23"/>
      <c r="O9" s="5">
        <f>O8+1</f>
        <v>2</v>
      </c>
      <c r="P9" s="15">
        <f ca="1">V8</f>
        <v>374.93928302613637</v>
      </c>
      <c r="Q9" s="5">
        <f ca="1">IF(O9&gt;$D$2,0,IF($F$2=Choices!$A$2,IF(O9&gt;$E$2,OFFSET(LiborCurve!$A$1,O9,0)+$C$2,$B$2),$B$2))</f>
        <v>0.08</v>
      </c>
      <c r="R9" s="14">
        <f ca="1">P9*Q9/12</f>
        <v>2.4995952201742426</v>
      </c>
      <c r="S9" s="14">
        <f ca="1">IF(O9&gt;$D$2,0,IF($G$2=Choices!$B$1,-PMT(Q9/12,$D$2-(O9-1),P9),0))</f>
        <v>4.5740503071969556</v>
      </c>
      <c r="T9" s="14">
        <f ca="1">IF(AND($G$2=Choices!$B$2,O9=$D$2),P9,IF(AND($G$2=Choices!$B$2,O9&lt;$D$2),0,S9-R9))</f>
        <v>2.074455087022713</v>
      </c>
      <c r="U9" s="14">
        <f ca="1">R9+T9</f>
        <v>4.5740503071969556</v>
      </c>
      <c r="V9" s="14">
        <f ca="1">P9-T9</f>
        <v>372.86482793911364</v>
      </c>
    </row>
    <row r="10" spans="1:22" x14ac:dyDescent="0.2">
      <c r="A10" s="5">
        <f t="shared" ref="A10:A73" si="0">A9+1</f>
        <v>3</v>
      </c>
      <c r="B10" s="23"/>
      <c r="C10" s="14">
        <v>372.86482793911364</v>
      </c>
      <c r="D10" s="14">
        <v>2.4857655195940911</v>
      </c>
      <c r="E10" s="14">
        <v>2.0882847876028956</v>
      </c>
      <c r="F10" s="14">
        <v>4.5740503071969867</v>
      </c>
      <c r="G10" s="14">
        <v>370.77654315151074</v>
      </c>
      <c r="H10" s="23"/>
      <c r="I10" s="14">
        <v>372.86482793911364</v>
      </c>
      <c r="J10" s="14">
        <v>2.4857655195940911</v>
      </c>
      <c r="K10" s="14">
        <v>2.0882847876028956</v>
      </c>
      <c r="L10" s="14">
        <v>4.5740503071969867</v>
      </c>
      <c r="M10" s="14">
        <v>370.77654315151074</v>
      </c>
      <c r="N10" s="23"/>
      <c r="O10" s="5">
        <f t="shared" ref="O10:O73" si="1">O9+1</f>
        <v>3</v>
      </c>
      <c r="P10" s="15">
        <f t="shared" ref="P10:P73" ca="1" si="2">V9</f>
        <v>372.86482793911364</v>
      </c>
      <c r="Q10" s="5">
        <f ca="1">IF(O10&gt;$D$2,0,IF($F$2=Choices!$A$2,IF(O10&gt;$E$2,OFFSET(LiborCurve!$A$1,O10,0)+$C$2,$B$2),$B$2))</f>
        <v>0.08</v>
      </c>
      <c r="R10" s="14">
        <f t="shared" ref="R10:R73" ca="1" si="3">P10*Q10/12</f>
        <v>2.4857655195940911</v>
      </c>
      <c r="S10" s="14">
        <f ca="1">IF(O10&gt;$D$2,0,IF($G$2=Choices!$B$1,-PMT(Q10/12,$D$2-(O10-1),P10),0))</f>
        <v>4.5740503071969556</v>
      </c>
      <c r="T10" s="14">
        <f ca="1">IF(AND($G$2=Choices!$B$2,O10=$D$2),P10,IF(AND($G$2=Choices!$B$2,O10&lt;$D$2),0,S10-R10))</f>
        <v>2.0882847876028645</v>
      </c>
      <c r="U10" s="14">
        <f t="shared" ref="U10:U73" ca="1" si="4">R10+T10</f>
        <v>4.5740503071969556</v>
      </c>
      <c r="V10" s="14">
        <f t="shared" ref="V10:V73" ca="1" si="5">P10-T10</f>
        <v>370.77654315151079</v>
      </c>
    </row>
    <row r="11" spans="1:22" x14ac:dyDescent="0.2">
      <c r="A11" s="5">
        <f t="shared" si="0"/>
        <v>4</v>
      </c>
      <c r="B11" s="23"/>
      <c r="C11" s="14">
        <v>370.77654315151074</v>
      </c>
      <c r="D11" s="14">
        <v>2.4718436210100716</v>
      </c>
      <c r="E11" s="14">
        <v>2.1022066861869151</v>
      </c>
      <c r="F11" s="14">
        <v>4.5740503071969867</v>
      </c>
      <c r="G11" s="14">
        <v>368.67433646532385</v>
      </c>
      <c r="H11" s="23"/>
      <c r="I11" s="14">
        <v>370.77654315151074</v>
      </c>
      <c r="J11" s="14">
        <v>2.4718436210100716</v>
      </c>
      <c r="K11" s="14">
        <v>2.1022066861869151</v>
      </c>
      <c r="L11" s="14">
        <v>4.5740503071969867</v>
      </c>
      <c r="M11" s="14">
        <v>368.67433646532385</v>
      </c>
      <c r="N11" s="23"/>
      <c r="O11" s="5">
        <f t="shared" si="1"/>
        <v>4</v>
      </c>
      <c r="P11" s="15">
        <f t="shared" ca="1" si="2"/>
        <v>370.77654315151079</v>
      </c>
      <c r="Q11" s="5">
        <f ca="1">IF(O11&gt;$D$2,0,IF($F$2=Choices!$A$2,IF(O11&gt;$E$2,OFFSET(LiborCurve!$A$1,O11,0)+$C$2,$B$2),$B$2))</f>
        <v>0.08</v>
      </c>
      <c r="R11" s="14">
        <f t="shared" ca="1" si="3"/>
        <v>2.471843621010072</v>
      </c>
      <c r="S11" s="14">
        <f ca="1">IF(O11&gt;$D$2,0,IF($G$2=Choices!$B$1,-PMT(Q11/12,$D$2-(O11-1),P11),0))</f>
        <v>4.5740503071969565</v>
      </c>
      <c r="T11" s="14">
        <f ca="1">IF(AND($G$2=Choices!$B$2,O11=$D$2),P11,IF(AND($G$2=Choices!$B$2,O11&lt;$D$2),0,S11-R11))</f>
        <v>2.1022066861868844</v>
      </c>
      <c r="U11" s="14">
        <f t="shared" ca="1" si="4"/>
        <v>4.5740503071969565</v>
      </c>
      <c r="V11" s="14">
        <f t="shared" ca="1" si="5"/>
        <v>368.6743364653239</v>
      </c>
    </row>
    <row r="12" spans="1:22" x14ac:dyDescent="0.2">
      <c r="A12" s="5">
        <f t="shared" si="0"/>
        <v>5</v>
      </c>
      <c r="B12" s="23"/>
      <c r="C12" s="14">
        <v>368.67433646532385</v>
      </c>
      <c r="D12" s="14">
        <v>2.4578289097688257</v>
      </c>
      <c r="E12" s="14">
        <v>2.116221397428161</v>
      </c>
      <c r="F12" s="14">
        <v>4.5740503071969867</v>
      </c>
      <c r="G12" s="14">
        <v>366.5581150678957</v>
      </c>
      <c r="H12" s="23"/>
      <c r="I12" s="14">
        <v>368.67433646532385</v>
      </c>
      <c r="J12" s="14">
        <v>2.4578289097688257</v>
      </c>
      <c r="K12" s="14">
        <v>2.116221397428161</v>
      </c>
      <c r="L12" s="14">
        <v>4.5740503071969867</v>
      </c>
      <c r="M12" s="14">
        <v>366.5581150678957</v>
      </c>
      <c r="N12" s="23"/>
      <c r="O12" s="5">
        <f t="shared" si="1"/>
        <v>5</v>
      </c>
      <c r="P12" s="15">
        <f t="shared" ca="1" si="2"/>
        <v>368.6743364653239</v>
      </c>
      <c r="Q12" s="5">
        <f ca="1">IF(O12&gt;$D$2,0,IF($F$2=Choices!$A$2,IF(O12&gt;$E$2,OFFSET(LiborCurve!$A$1,O12,0)+$C$2,$B$2),$B$2))</f>
        <v>0.08</v>
      </c>
      <c r="R12" s="14">
        <f t="shared" ca="1" si="3"/>
        <v>2.4578289097688262</v>
      </c>
      <c r="S12" s="14">
        <f ca="1">IF(O12&gt;$D$2,0,IF($G$2=Choices!$B$1,-PMT(Q12/12,$D$2-(O12-1),P12),0))</f>
        <v>4.5740503071969574</v>
      </c>
      <c r="T12" s="14">
        <f ca="1">IF(AND($G$2=Choices!$B$2,O12=$D$2),P12,IF(AND($G$2=Choices!$B$2,O12&lt;$D$2),0,S12-R12))</f>
        <v>2.1162213974281312</v>
      </c>
      <c r="U12" s="14">
        <f t="shared" ca="1" si="4"/>
        <v>4.5740503071969574</v>
      </c>
      <c r="V12" s="14">
        <f t="shared" ca="1" si="5"/>
        <v>366.55811506789576</v>
      </c>
    </row>
    <row r="13" spans="1:22" x14ac:dyDescent="0.2">
      <c r="A13" s="5">
        <f t="shared" si="0"/>
        <v>6</v>
      </c>
      <c r="B13" s="23"/>
      <c r="C13" s="14">
        <v>366.5581150678957</v>
      </c>
      <c r="D13" s="14">
        <v>2.4437207671193044</v>
      </c>
      <c r="E13" s="14">
        <v>2.1303295400776823</v>
      </c>
      <c r="F13" s="14">
        <v>4.5740503071969867</v>
      </c>
      <c r="G13" s="14">
        <v>364.427785527818</v>
      </c>
      <c r="H13" s="23"/>
      <c r="I13" s="14">
        <v>366.5581150678957</v>
      </c>
      <c r="J13" s="14">
        <v>2.4437207671193044</v>
      </c>
      <c r="K13" s="14">
        <v>2.1303295400776823</v>
      </c>
      <c r="L13" s="14">
        <v>4.5740503071969867</v>
      </c>
      <c r="M13" s="14">
        <v>364.427785527818</v>
      </c>
      <c r="N13" s="23"/>
      <c r="O13" s="5">
        <f t="shared" si="1"/>
        <v>6</v>
      </c>
      <c r="P13" s="15">
        <f t="shared" ca="1" si="2"/>
        <v>366.55811506789576</v>
      </c>
      <c r="Q13" s="5">
        <f ca="1">IF(O13&gt;$D$2,0,IF($F$2=Choices!$A$2,IF(O13&gt;$E$2,OFFSET(LiborCurve!$A$1,O13,0)+$C$2,$B$2),$B$2))</f>
        <v>0.08</v>
      </c>
      <c r="R13" s="14">
        <f t="shared" ca="1" si="3"/>
        <v>2.4437207671193053</v>
      </c>
      <c r="S13" s="14">
        <f ca="1">IF(O13&gt;$D$2,0,IF($G$2=Choices!$B$1,-PMT(Q13/12,$D$2-(O13-1),P13),0))</f>
        <v>4.5740503071969565</v>
      </c>
      <c r="T13" s="14">
        <f ca="1">IF(AND($G$2=Choices!$B$2,O13=$D$2),P13,IF(AND($G$2=Choices!$B$2,O13&lt;$D$2),0,S13-R13))</f>
        <v>2.1303295400776512</v>
      </c>
      <c r="U13" s="14">
        <f t="shared" ca="1" si="4"/>
        <v>4.5740503071969565</v>
      </c>
      <c r="V13" s="14">
        <f t="shared" ca="1" si="5"/>
        <v>364.42778552781812</v>
      </c>
    </row>
    <row r="14" spans="1:22" x14ac:dyDescent="0.2">
      <c r="A14" s="5">
        <f t="shared" si="0"/>
        <v>7</v>
      </c>
      <c r="B14" s="23"/>
      <c r="C14" s="14">
        <v>364.427785527818</v>
      </c>
      <c r="D14" s="14">
        <v>2.4295185701854534</v>
      </c>
      <c r="E14" s="14">
        <v>2.1445317370115324</v>
      </c>
      <c r="F14" s="14">
        <v>4.5740503071969858</v>
      </c>
      <c r="G14" s="14">
        <v>362.2832537908065</v>
      </c>
      <c r="H14" s="23"/>
      <c r="I14" s="14">
        <v>364.427785527818</v>
      </c>
      <c r="J14" s="14">
        <v>2.4295185701854534</v>
      </c>
      <c r="K14" s="14">
        <v>2.1445317370115324</v>
      </c>
      <c r="L14" s="14">
        <v>4.5740503071969858</v>
      </c>
      <c r="M14" s="14">
        <v>362.2832537908065</v>
      </c>
      <c r="N14" s="23"/>
      <c r="O14" s="5">
        <f t="shared" si="1"/>
        <v>7</v>
      </c>
      <c r="P14" s="15">
        <f t="shared" ca="1" si="2"/>
        <v>364.42778552781812</v>
      </c>
      <c r="Q14" s="5">
        <f ca="1">IF(O14&gt;$D$2,0,IF($F$2=Choices!$A$2,IF(O14&gt;$E$2,OFFSET(LiborCurve!$A$1,O14,0)+$C$2,$B$2),$B$2))</f>
        <v>0.08</v>
      </c>
      <c r="R14" s="14">
        <f t="shared" ca="1" si="3"/>
        <v>2.4295185701854543</v>
      </c>
      <c r="S14" s="14">
        <f ca="1">IF(O14&gt;$D$2,0,IF($G$2=Choices!$B$1,-PMT(Q14/12,$D$2-(O14-1),P14),0))</f>
        <v>4.5740503071969556</v>
      </c>
      <c r="T14" s="14">
        <f ca="1">IF(AND($G$2=Choices!$B$2,O14=$D$2),P14,IF(AND($G$2=Choices!$B$2,O14&lt;$D$2),0,S14-R14))</f>
        <v>2.1445317370115013</v>
      </c>
      <c r="U14" s="14">
        <f t="shared" ca="1" si="4"/>
        <v>4.5740503071969556</v>
      </c>
      <c r="V14" s="14">
        <f t="shared" ca="1" si="5"/>
        <v>362.28325379080661</v>
      </c>
    </row>
    <row r="15" spans="1:22" x14ac:dyDescent="0.2">
      <c r="A15" s="5">
        <f t="shared" si="0"/>
        <v>8</v>
      </c>
      <c r="B15" s="23"/>
      <c r="C15" s="14">
        <v>362.2832537908065</v>
      </c>
      <c r="D15" s="14">
        <v>2.4152216919387102</v>
      </c>
      <c r="E15" s="14">
        <v>2.1588286152582765</v>
      </c>
      <c r="F15" s="14">
        <v>4.5740503071969867</v>
      </c>
      <c r="G15" s="14">
        <v>360.1244251755482</v>
      </c>
      <c r="H15" s="23"/>
      <c r="I15" s="14">
        <v>362.2832537908065</v>
      </c>
      <c r="J15" s="14">
        <v>2.4152216919387102</v>
      </c>
      <c r="K15" s="14">
        <v>2.1588286152582765</v>
      </c>
      <c r="L15" s="14">
        <v>4.5740503071969867</v>
      </c>
      <c r="M15" s="14">
        <v>360.1244251755482</v>
      </c>
      <c r="N15" s="23"/>
      <c r="O15" s="5">
        <f t="shared" si="1"/>
        <v>8</v>
      </c>
      <c r="P15" s="15">
        <f t="shared" ca="1" si="2"/>
        <v>362.28325379080661</v>
      </c>
      <c r="Q15" s="5">
        <f ca="1">IF(O15&gt;$D$2,0,IF($F$2=Choices!$A$2,IF(O15&gt;$E$2,OFFSET(LiborCurve!$A$1,O15,0)+$C$2,$B$2),$B$2))</f>
        <v>0.08</v>
      </c>
      <c r="R15" s="14">
        <f t="shared" ca="1" si="3"/>
        <v>2.4152216919387111</v>
      </c>
      <c r="S15" s="14">
        <f ca="1">IF(O15&gt;$D$2,0,IF($G$2=Choices!$B$1,-PMT(Q15/12,$D$2-(O15-1),P15),0))</f>
        <v>4.5740503071969556</v>
      </c>
      <c r="T15" s="14">
        <f ca="1">IF(AND($G$2=Choices!$B$2,O15=$D$2),P15,IF(AND($G$2=Choices!$B$2,O15&lt;$D$2),0,S15-R15))</f>
        <v>2.1588286152582445</v>
      </c>
      <c r="U15" s="14">
        <f t="shared" ca="1" si="4"/>
        <v>4.5740503071969556</v>
      </c>
      <c r="V15" s="14">
        <f t="shared" ca="1" si="5"/>
        <v>360.12442517554837</v>
      </c>
    </row>
    <row r="16" spans="1:22" x14ac:dyDescent="0.2">
      <c r="A16" s="5">
        <f t="shared" si="0"/>
        <v>9</v>
      </c>
      <c r="B16" s="23"/>
      <c r="C16" s="14">
        <v>360.1244251755482</v>
      </c>
      <c r="D16" s="14">
        <v>2.4008295011703216</v>
      </c>
      <c r="E16" s="14">
        <v>2.1732208060266642</v>
      </c>
      <c r="F16" s="14">
        <v>4.5740503071969858</v>
      </c>
      <c r="G16" s="14">
        <v>357.95120436952152</v>
      </c>
      <c r="H16" s="23"/>
      <c r="I16" s="14">
        <v>360.1244251755482</v>
      </c>
      <c r="J16" s="14">
        <v>2.4008295011703216</v>
      </c>
      <c r="K16" s="14">
        <v>2.1732208060266642</v>
      </c>
      <c r="L16" s="14">
        <v>4.5740503071969858</v>
      </c>
      <c r="M16" s="14">
        <v>357.95120436952152</v>
      </c>
      <c r="N16" s="23"/>
      <c r="O16" s="5">
        <f t="shared" si="1"/>
        <v>9</v>
      </c>
      <c r="P16" s="15">
        <f t="shared" ca="1" si="2"/>
        <v>360.12442517554837</v>
      </c>
      <c r="Q16" s="5">
        <f ca="1">IF(O16&gt;$D$2,0,IF($F$2=Choices!$A$2,IF(O16&gt;$E$2,OFFSET(LiborCurve!$A$1,O16,0)+$C$2,$B$2),$B$2))</f>
        <v>0.08</v>
      </c>
      <c r="R16" s="14">
        <f t="shared" ca="1" si="3"/>
        <v>2.4008295011703225</v>
      </c>
      <c r="S16" s="14">
        <f ca="1">IF(O16&gt;$D$2,0,IF($G$2=Choices!$B$1,-PMT(Q16/12,$D$2-(O16-1),P16),0))</f>
        <v>4.5740503071969565</v>
      </c>
      <c r="T16" s="14">
        <f ca="1">IF(AND($G$2=Choices!$B$2,O16=$D$2),P16,IF(AND($G$2=Choices!$B$2,O16&lt;$D$2),0,S16-R16))</f>
        <v>2.173220806026634</v>
      </c>
      <c r="U16" s="14">
        <f t="shared" ca="1" si="4"/>
        <v>4.5740503071969565</v>
      </c>
      <c r="V16" s="14">
        <f t="shared" ca="1" si="5"/>
        <v>357.95120436952175</v>
      </c>
    </row>
    <row r="17" spans="1:22" x14ac:dyDescent="0.2">
      <c r="A17" s="5">
        <f t="shared" si="0"/>
        <v>10</v>
      </c>
      <c r="B17" s="23"/>
      <c r="C17" s="14">
        <v>357.95120436952152</v>
      </c>
      <c r="D17" s="14">
        <v>2.3863413624634768</v>
      </c>
      <c r="E17" s="14">
        <v>2.1877089447335081</v>
      </c>
      <c r="F17" s="14">
        <v>4.5740503071969849</v>
      </c>
      <c r="G17" s="14">
        <v>355.763495424788</v>
      </c>
      <c r="H17" s="23"/>
      <c r="I17" s="14">
        <v>357.95120436952152</v>
      </c>
      <c r="J17" s="14">
        <v>2.3863413624634768</v>
      </c>
      <c r="K17" s="14">
        <v>2.1877089447335081</v>
      </c>
      <c r="L17" s="14">
        <v>4.5740503071969849</v>
      </c>
      <c r="M17" s="14">
        <v>355.763495424788</v>
      </c>
      <c r="N17" s="23"/>
      <c r="O17" s="5">
        <f t="shared" si="1"/>
        <v>10</v>
      </c>
      <c r="P17" s="15">
        <f t="shared" ca="1" si="2"/>
        <v>357.95120436952175</v>
      </c>
      <c r="Q17" s="5">
        <f ca="1">IF(O17&gt;$D$2,0,IF($F$2=Choices!$A$2,IF(O17&gt;$E$2,OFFSET(LiborCurve!$A$1,O17,0)+$C$2,$B$2),$B$2))</f>
        <v>0.08</v>
      </c>
      <c r="R17" s="14">
        <f t="shared" ca="1" si="3"/>
        <v>2.3863413624634782</v>
      </c>
      <c r="S17" s="14">
        <f ca="1">IF(O17&gt;$D$2,0,IF($G$2=Choices!$B$1,-PMT(Q17/12,$D$2-(O17-1),P17),0))</f>
        <v>4.5740503071969556</v>
      </c>
      <c r="T17" s="14">
        <f ca="1">IF(AND($G$2=Choices!$B$2,O17=$D$2),P17,IF(AND($G$2=Choices!$B$2,O17&lt;$D$2),0,S17-R17))</f>
        <v>2.1877089447334774</v>
      </c>
      <c r="U17" s="14">
        <f t="shared" ca="1" si="4"/>
        <v>4.5740503071969556</v>
      </c>
      <c r="V17" s="14">
        <f t="shared" ca="1" si="5"/>
        <v>355.76349542478829</v>
      </c>
    </row>
    <row r="18" spans="1:22" x14ac:dyDescent="0.2">
      <c r="A18" s="5">
        <f t="shared" si="0"/>
        <v>11</v>
      </c>
      <c r="B18" s="23"/>
      <c r="C18" s="14">
        <v>355.763495424788</v>
      </c>
      <c r="D18" s="14">
        <v>2.3717566361652533</v>
      </c>
      <c r="E18" s="14">
        <v>2.2022936710317316</v>
      </c>
      <c r="F18" s="14">
        <v>4.5740503071969849</v>
      </c>
      <c r="G18" s="14">
        <v>353.56120175375628</v>
      </c>
      <c r="H18" s="23"/>
      <c r="I18" s="14">
        <v>355.763495424788</v>
      </c>
      <c r="J18" s="14">
        <v>2.3717566361652533</v>
      </c>
      <c r="K18" s="14">
        <v>2.2022936710317316</v>
      </c>
      <c r="L18" s="14">
        <v>4.5740503071969849</v>
      </c>
      <c r="M18" s="14">
        <v>353.56120175375628</v>
      </c>
      <c r="N18" s="23"/>
      <c r="O18" s="5">
        <f t="shared" si="1"/>
        <v>11</v>
      </c>
      <c r="P18" s="15">
        <f t="shared" ca="1" si="2"/>
        <v>355.76349542478829</v>
      </c>
      <c r="Q18" s="5">
        <f ca="1">IF(O18&gt;$D$2,0,IF($F$2=Choices!$A$2,IF(O18&gt;$E$2,OFFSET(LiborCurve!$A$1,O18,0)+$C$2,$B$2),$B$2))</f>
        <v>0.08</v>
      </c>
      <c r="R18" s="14">
        <f t="shared" ca="1" si="3"/>
        <v>2.3717566361652556</v>
      </c>
      <c r="S18" s="14">
        <f ca="1">IF(O18&gt;$D$2,0,IF($G$2=Choices!$B$1,-PMT(Q18/12,$D$2-(O18-1),P18),0))</f>
        <v>4.5740503071969565</v>
      </c>
      <c r="T18" s="14">
        <f ca="1">IF(AND($G$2=Choices!$B$2,O18=$D$2),P18,IF(AND($G$2=Choices!$B$2,O18&lt;$D$2),0,S18-R18))</f>
        <v>2.2022936710317009</v>
      </c>
      <c r="U18" s="14">
        <f t="shared" ca="1" si="4"/>
        <v>4.5740503071969565</v>
      </c>
      <c r="V18" s="14">
        <f t="shared" ca="1" si="5"/>
        <v>353.56120175375656</v>
      </c>
    </row>
    <row r="19" spans="1:22" x14ac:dyDescent="0.2">
      <c r="A19" s="5">
        <f t="shared" si="0"/>
        <v>12</v>
      </c>
      <c r="B19" s="23"/>
      <c r="C19" s="14">
        <v>353.56120175375628</v>
      </c>
      <c r="D19" s="14">
        <v>2.3570746783583751</v>
      </c>
      <c r="E19" s="14">
        <v>2.2169756288386098</v>
      </c>
      <c r="F19" s="14">
        <v>4.5740503071969849</v>
      </c>
      <c r="G19" s="14">
        <v>351.34422612491767</v>
      </c>
      <c r="H19" s="23"/>
      <c r="I19" s="14">
        <v>353.56120175375628</v>
      </c>
      <c r="J19" s="14">
        <v>2.3570746783583751</v>
      </c>
      <c r="K19" s="14">
        <v>2.2169756288386098</v>
      </c>
      <c r="L19" s="14">
        <v>4.5740503071969849</v>
      </c>
      <c r="M19" s="14">
        <v>351.34422612491767</v>
      </c>
      <c r="N19" s="23"/>
      <c r="O19" s="5">
        <f t="shared" si="1"/>
        <v>12</v>
      </c>
      <c r="P19" s="15">
        <f t="shared" ca="1" si="2"/>
        <v>353.56120175375656</v>
      </c>
      <c r="Q19" s="5">
        <f ca="1">IF(O19&gt;$D$2,0,IF($F$2=Choices!$A$2,IF(O19&gt;$E$2,OFFSET(LiborCurve!$A$1,O19,0)+$C$2,$B$2),$B$2))</f>
        <v>0.08</v>
      </c>
      <c r="R19" s="14">
        <f t="shared" ca="1" si="3"/>
        <v>2.3570746783583769</v>
      </c>
      <c r="S19" s="14">
        <f ca="1">IF(O19&gt;$D$2,0,IF($G$2=Choices!$B$1,-PMT(Q19/12,$D$2-(O19-1),P19),0))</f>
        <v>4.5740503071969565</v>
      </c>
      <c r="T19" s="14">
        <f ca="1">IF(AND($G$2=Choices!$B$2,O19=$D$2),P19,IF(AND($G$2=Choices!$B$2,O19&lt;$D$2),0,S19-R19))</f>
        <v>2.2169756288385796</v>
      </c>
      <c r="U19" s="14">
        <f t="shared" ca="1" si="4"/>
        <v>4.5740503071969565</v>
      </c>
      <c r="V19" s="14">
        <f t="shared" ca="1" si="5"/>
        <v>351.34422612491801</v>
      </c>
    </row>
    <row r="20" spans="1:22" x14ac:dyDescent="0.2">
      <c r="A20" s="5">
        <f t="shared" si="0"/>
        <v>13</v>
      </c>
      <c r="B20" s="23"/>
      <c r="C20" s="14">
        <v>351.34422612491767</v>
      </c>
      <c r="D20" s="14">
        <v>2.3422948408327846</v>
      </c>
      <c r="E20" s="14">
        <v>2.2317554663641994</v>
      </c>
      <c r="F20" s="14">
        <v>4.574050307196984</v>
      </c>
      <c r="G20" s="14">
        <v>349.11247065855349</v>
      </c>
      <c r="H20" s="23"/>
      <c r="I20" s="14">
        <v>351.34422612491767</v>
      </c>
      <c r="J20" s="14">
        <v>2.3422948408327846</v>
      </c>
      <c r="K20" s="14">
        <v>2.2317554663641994</v>
      </c>
      <c r="L20" s="14">
        <v>4.574050307196984</v>
      </c>
      <c r="M20" s="14">
        <v>349.11247065855349</v>
      </c>
      <c r="N20" s="23"/>
      <c r="O20" s="5">
        <f t="shared" si="1"/>
        <v>13</v>
      </c>
      <c r="P20" s="15">
        <f t="shared" ca="1" si="2"/>
        <v>351.34422612491801</v>
      </c>
      <c r="Q20" s="5">
        <f ca="1">IF(O20&gt;$D$2,0,IF($F$2=Choices!$A$2,IF(O20&gt;$E$2,OFFSET(LiborCurve!$A$1,O20,0)+$C$2,$B$2),$B$2))</f>
        <v>0.08</v>
      </c>
      <c r="R20" s="14">
        <f t="shared" ca="1" si="3"/>
        <v>2.3422948408327868</v>
      </c>
      <c r="S20" s="14">
        <f ca="1">IF(O20&gt;$D$2,0,IF($G$2=Choices!$B$1,-PMT(Q20/12,$D$2-(O20-1),P20),0))</f>
        <v>4.5740503071969565</v>
      </c>
      <c r="T20" s="14">
        <f ca="1">IF(AND($G$2=Choices!$B$2,O20=$D$2),P20,IF(AND($G$2=Choices!$B$2,O20&lt;$D$2),0,S20-R20))</f>
        <v>2.2317554663641697</v>
      </c>
      <c r="U20" s="14">
        <f t="shared" ca="1" si="4"/>
        <v>4.5740503071969565</v>
      </c>
      <c r="V20" s="14">
        <f t="shared" ca="1" si="5"/>
        <v>349.11247065855383</v>
      </c>
    </row>
    <row r="21" spans="1:22" x14ac:dyDescent="0.2">
      <c r="A21" s="5">
        <f t="shared" si="0"/>
        <v>14</v>
      </c>
      <c r="B21" s="23"/>
      <c r="C21" s="14">
        <v>349.11247065855349</v>
      </c>
      <c r="D21" s="14">
        <v>2.3274164710570235</v>
      </c>
      <c r="E21" s="14">
        <v>2.2466338361399614</v>
      </c>
      <c r="F21" s="14">
        <v>4.5740503071969849</v>
      </c>
      <c r="G21" s="14">
        <v>346.86583682241354</v>
      </c>
      <c r="H21" s="23"/>
      <c r="I21" s="14">
        <v>349.11247065855349</v>
      </c>
      <c r="J21" s="14">
        <v>2.3274164710570235</v>
      </c>
      <c r="K21" s="14">
        <v>2.2466338361399614</v>
      </c>
      <c r="L21" s="14">
        <v>4.5740503071969849</v>
      </c>
      <c r="M21" s="14">
        <v>346.86583682241354</v>
      </c>
      <c r="N21" s="23"/>
      <c r="O21" s="5">
        <f t="shared" si="1"/>
        <v>14</v>
      </c>
      <c r="P21" s="15">
        <f t="shared" ca="1" si="2"/>
        <v>349.11247065855383</v>
      </c>
      <c r="Q21" s="5">
        <f ca="1">IF(O21&gt;$D$2,0,IF($F$2=Choices!$A$2,IF(O21&gt;$E$2,OFFSET(LiborCurve!$A$1,O21,0)+$C$2,$B$2),$B$2))</f>
        <v>0.08</v>
      </c>
      <c r="R21" s="14">
        <f t="shared" ca="1" si="3"/>
        <v>2.3274164710570253</v>
      </c>
      <c r="S21" s="14">
        <f ca="1">IF(O21&gt;$D$2,0,IF($G$2=Choices!$B$1,-PMT(Q21/12,$D$2-(O21-1),P21),0))</f>
        <v>4.5740503071969574</v>
      </c>
      <c r="T21" s="14">
        <f ca="1">IF(AND($G$2=Choices!$B$2,O21=$D$2),P21,IF(AND($G$2=Choices!$B$2,O21&lt;$D$2),0,S21-R21))</f>
        <v>2.2466338361399321</v>
      </c>
      <c r="U21" s="14">
        <f t="shared" ca="1" si="4"/>
        <v>4.5740503071969574</v>
      </c>
      <c r="V21" s="14">
        <f t="shared" ca="1" si="5"/>
        <v>346.86583682241388</v>
      </c>
    </row>
    <row r="22" spans="1:22" x14ac:dyDescent="0.2">
      <c r="A22" s="5">
        <f t="shared" si="0"/>
        <v>15</v>
      </c>
      <c r="B22" s="23"/>
      <c r="C22" s="14">
        <v>346.86583682241354</v>
      </c>
      <c r="D22" s="14">
        <v>2.3124389121494238</v>
      </c>
      <c r="E22" s="14">
        <v>2.2616113950475603</v>
      </c>
      <c r="F22" s="14">
        <v>4.574050307196984</v>
      </c>
      <c r="G22" s="14">
        <v>344.60422542736598</v>
      </c>
      <c r="H22" s="23"/>
      <c r="I22" s="14">
        <v>346.86583682241354</v>
      </c>
      <c r="J22" s="14">
        <v>2.3124389121494238</v>
      </c>
      <c r="K22" s="14">
        <v>2.2616113950475603</v>
      </c>
      <c r="L22" s="14">
        <v>4.574050307196984</v>
      </c>
      <c r="M22" s="14">
        <v>344.60422542736598</v>
      </c>
      <c r="N22" s="23"/>
      <c r="O22" s="5">
        <f t="shared" si="1"/>
        <v>15</v>
      </c>
      <c r="P22" s="15">
        <f t="shared" ca="1" si="2"/>
        <v>346.86583682241388</v>
      </c>
      <c r="Q22" s="5">
        <f ca="1">IF(O22&gt;$D$2,0,IF($F$2=Choices!$A$2,IF(O22&gt;$E$2,OFFSET(LiborCurve!$A$1,O22,0)+$C$2,$B$2),$B$2))</f>
        <v>0.08</v>
      </c>
      <c r="R22" s="14">
        <f t="shared" ca="1" si="3"/>
        <v>2.312438912149426</v>
      </c>
      <c r="S22" s="14">
        <f ca="1">IF(O22&gt;$D$2,0,IF($G$2=Choices!$B$1,-PMT(Q22/12,$D$2-(O22-1),P22),0))</f>
        <v>4.5740503071969565</v>
      </c>
      <c r="T22" s="14">
        <f ca="1">IF(AND($G$2=Choices!$B$2,O22=$D$2),P22,IF(AND($G$2=Choices!$B$2,O22&lt;$D$2),0,S22-R22))</f>
        <v>2.2616113950475305</v>
      </c>
      <c r="U22" s="14">
        <f t="shared" ca="1" si="4"/>
        <v>4.5740503071969565</v>
      </c>
      <c r="V22" s="14">
        <f t="shared" ca="1" si="5"/>
        <v>344.60422542736637</v>
      </c>
    </row>
    <row r="23" spans="1:22" x14ac:dyDescent="0.2">
      <c r="A23" s="5">
        <f t="shared" si="0"/>
        <v>16</v>
      </c>
      <c r="B23" s="23"/>
      <c r="C23" s="14">
        <v>344.60422542736598</v>
      </c>
      <c r="D23" s="14">
        <v>2.2973615028491063</v>
      </c>
      <c r="E23" s="14">
        <v>2.2766888043478777</v>
      </c>
      <c r="F23" s="14">
        <v>4.574050307196984</v>
      </c>
      <c r="G23" s="14">
        <v>342.32753662301809</v>
      </c>
      <c r="H23" s="23"/>
      <c r="I23" s="14">
        <v>344.60422542736598</v>
      </c>
      <c r="J23" s="14">
        <v>2.2973615028491063</v>
      </c>
      <c r="K23" s="14">
        <v>2.2766888043478777</v>
      </c>
      <c r="L23" s="14">
        <v>4.574050307196984</v>
      </c>
      <c r="M23" s="14">
        <v>342.32753662301809</v>
      </c>
      <c r="N23" s="23"/>
      <c r="O23" s="5">
        <f t="shared" si="1"/>
        <v>16</v>
      </c>
      <c r="P23" s="15">
        <f t="shared" ca="1" si="2"/>
        <v>344.60422542736637</v>
      </c>
      <c r="Q23" s="5">
        <f ca="1">IF(O23&gt;$D$2,0,IF($F$2=Choices!$A$2,IF(O23&gt;$E$2,OFFSET(LiborCurve!$A$1,O23,0)+$C$2,$B$2),$B$2))</f>
        <v>0.08</v>
      </c>
      <c r="R23" s="14">
        <f t="shared" ca="1" si="3"/>
        <v>2.297361502849109</v>
      </c>
      <c r="S23" s="14">
        <f ca="1">IF(O23&gt;$D$2,0,IF($G$2=Choices!$B$1,-PMT(Q23/12,$D$2-(O23-1),P23),0))</f>
        <v>4.5740503071969565</v>
      </c>
      <c r="T23" s="14">
        <f ca="1">IF(AND($G$2=Choices!$B$2,O23=$D$2),P23,IF(AND($G$2=Choices!$B$2,O23&lt;$D$2),0,S23-R23))</f>
        <v>2.2766888043478475</v>
      </c>
      <c r="U23" s="14">
        <f t="shared" ca="1" si="4"/>
        <v>4.5740503071969565</v>
      </c>
      <c r="V23" s="14">
        <f t="shared" ca="1" si="5"/>
        <v>342.32753662301855</v>
      </c>
    </row>
    <row r="24" spans="1:22" x14ac:dyDescent="0.2">
      <c r="A24" s="5">
        <f t="shared" si="0"/>
        <v>17</v>
      </c>
      <c r="B24" s="23"/>
      <c r="C24" s="14">
        <v>342.32753662301809</v>
      </c>
      <c r="D24" s="14">
        <v>2.2821835774867876</v>
      </c>
      <c r="E24" s="14">
        <v>2.2918667297101964</v>
      </c>
      <c r="F24" s="14">
        <v>4.574050307196984</v>
      </c>
      <c r="G24" s="14">
        <v>340.0356698933079</v>
      </c>
      <c r="H24" s="23"/>
      <c r="I24" s="14">
        <v>342.32753662301809</v>
      </c>
      <c r="J24" s="14">
        <v>2.2821835774867876</v>
      </c>
      <c r="K24" s="14">
        <v>2.2918667297101964</v>
      </c>
      <c r="L24" s="14">
        <v>4.574050307196984</v>
      </c>
      <c r="M24" s="14">
        <v>340.0356698933079</v>
      </c>
      <c r="N24" s="23"/>
      <c r="O24" s="5">
        <f t="shared" si="1"/>
        <v>17</v>
      </c>
      <c r="P24" s="15">
        <f t="shared" ca="1" si="2"/>
        <v>342.32753662301855</v>
      </c>
      <c r="Q24" s="5">
        <f ca="1">IF(O24&gt;$D$2,0,IF($F$2=Choices!$A$2,IF(O24&gt;$E$2,OFFSET(LiborCurve!$A$1,O24,0)+$C$2,$B$2),$B$2))</f>
        <v>0.08</v>
      </c>
      <c r="R24" s="14">
        <f t="shared" ca="1" si="3"/>
        <v>2.2821835774867902</v>
      </c>
      <c r="S24" s="14">
        <f ca="1">IF(O24&gt;$D$2,0,IF($G$2=Choices!$B$1,-PMT(Q24/12,$D$2-(O24-1),P24),0))</f>
        <v>4.5740503071969565</v>
      </c>
      <c r="T24" s="14">
        <f ca="1">IF(AND($G$2=Choices!$B$2,O24=$D$2),P24,IF(AND($G$2=Choices!$B$2,O24&lt;$D$2),0,S24-R24))</f>
        <v>2.2918667297101663</v>
      </c>
      <c r="U24" s="14">
        <f t="shared" ca="1" si="4"/>
        <v>4.5740503071969565</v>
      </c>
      <c r="V24" s="14">
        <f t="shared" ca="1" si="5"/>
        <v>340.03566989330835</v>
      </c>
    </row>
    <row r="25" spans="1:22" x14ac:dyDescent="0.2">
      <c r="A25" s="5">
        <f t="shared" si="0"/>
        <v>18</v>
      </c>
      <c r="B25" s="23"/>
      <c r="C25" s="14">
        <v>340.0356698933079</v>
      </c>
      <c r="D25" s="14">
        <v>2.2669044659553861</v>
      </c>
      <c r="E25" s="14">
        <v>2.3071458412415971</v>
      </c>
      <c r="F25" s="14">
        <v>4.5740503071969831</v>
      </c>
      <c r="G25" s="14">
        <v>337.72852405206629</v>
      </c>
      <c r="H25" s="23"/>
      <c r="I25" s="14">
        <v>340.0356698933079</v>
      </c>
      <c r="J25" s="14">
        <v>2.2669044659553861</v>
      </c>
      <c r="K25" s="14">
        <v>2.3071458412415971</v>
      </c>
      <c r="L25" s="14">
        <v>4.5740503071969831</v>
      </c>
      <c r="M25" s="14">
        <v>337.72852405206629</v>
      </c>
      <c r="N25" s="23"/>
      <c r="O25" s="5">
        <f t="shared" si="1"/>
        <v>18</v>
      </c>
      <c r="P25" s="15">
        <f t="shared" ca="1" si="2"/>
        <v>340.03566989330835</v>
      </c>
      <c r="Q25" s="5">
        <f ca="1">IF(O25&gt;$D$2,0,IF($F$2=Choices!$A$2,IF(O25&gt;$E$2,OFFSET(LiborCurve!$A$1,O25,0)+$C$2,$B$2),$B$2))</f>
        <v>0.08</v>
      </c>
      <c r="R25" s="14">
        <f t="shared" ca="1" si="3"/>
        <v>2.2669044659553892</v>
      </c>
      <c r="S25" s="14">
        <f ca="1">IF(O25&gt;$D$2,0,IF($G$2=Choices!$B$1,-PMT(Q25/12,$D$2-(O25-1),P25),0))</f>
        <v>4.5740503071969556</v>
      </c>
      <c r="T25" s="14">
        <f ca="1">IF(AND($G$2=Choices!$B$2,O25=$D$2),P25,IF(AND($G$2=Choices!$B$2,O25&lt;$D$2),0,S25-R25))</f>
        <v>2.3071458412415664</v>
      </c>
      <c r="U25" s="14">
        <f t="shared" ca="1" si="4"/>
        <v>4.5740503071969556</v>
      </c>
      <c r="V25" s="14">
        <f t="shared" ca="1" si="5"/>
        <v>337.7285240520668</v>
      </c>
    </row>
    <row r="26" spans="1:22" x14ac:dyDescent="0.2">
      <c r="A26" s="5">
        <f t="shared" si="0"/>
        <v>19</v>
      </c>
      <c r="B26" s="23"/>
      <c r="C26" s="14">
        <v>337.72852405206629</v>
      </c>
      <c r="D26" s="14">
        <v>2.251523493680442</v>
      </c>
      <c r="E26" s="14">
        <v>2.3225268135165402</v>
      </c>
      <c r="F26" s="14">
        <v>4.5740503071969822</v>
      </c>
      <c r="G26" s="14">
        <v>335.40599723854973</v>
      </c>
      <c r="H26" s="23"/>
      <c r="I26" s="14">
        <v>337.72852405206629</v>
      </c>
      <c r="J26" s="14">
        <v>2.251523493680442</v>
      </c>
      <c r="K26" s="14">
        <v>2.3225268135165402</v>
      </c>
      <c r="L26" s="14">
        <v>4.5740503071969822</v>
      </c>
      <c r="M26" s="14">
        <v>335.40599723854973</v>
      </c>
      <c r="N26" s="23"/>
      <c r="O26" s="5">
        <f t="shared" si="1"/>
        <v>19</v>
      </c>
      <c r="P26" s="15">
        <f t="shared" ca="1" si="2"/>
        <v>337.7285240520668</v>
      </c>
      <c r="Q26" s="5">
        <f ca="1">IF(O26&gt;$D$2,0,IF($F$2=Choices!$A$2,IF(O26&gt;$E$2,OFFSET(LiborCurve!$A$1,O26,0)+$C$2,$B$2),$B$2))</f>
        <v>0.08</v>
      </c>
      <c r="R26" s="14">
        <f t="shared" ca="1" si="3"/>
        <v>2.2515234936804451</v>
      </c>
      <c r="S26" s="14">
        <f ca="1">IF(O26&gt;$D$2,0,IF($G$2=Choices!$B$1,-PMT(Q26/12,$D$2-(O26-1),P26),0))</f>
        <v>4.5740503071969565</v>
      </c>
      <c r="T26" s="14">
        <f ca="1">IF(AND($G$2=Choices!$B$2,O26=$D$2),P26,IF(AND($G$2=Choices!$B$2,O26&lt;$D$2),0,S26-R26))</f>
        <v>2.3225268135165114</v>
      </c>
      <c r="U26" s="14">
        <f t="shared" ca="1" si="4"/>
        <v>4.5740503071969565</v>
      </c>
      <c r="V26" s="14">
        <f t="shared" ca="1" si="5"/>
        <v>335.4059972385503</v>
      </c>
    </row>
    <row r="27" spans="1:22" x14ac:dyDescent="0.2">
      <c r="A27" s="5">
        <f t="shared" si="0"/>
        <v>20</v>
      </c>
      <c r="B27" s="23"/>
      <c r="C27" s="14">
        <v>335.40599723854973</v>
      </c>
      <c r="D27" s="14">
        <v>2.2360399815903316</v>
      </c>
      <c r="E27" s="14">
        <v>2.3380103256066507</v>
      </c>
      <c r="F27" s="14">
        <v>4.5740503071969822</v>
      </c>
      <c r="G27" s="14">
        <v>333.06798691294307</v>
      </c>
      <c r="H27" s="23"/>
      <c r="I27" s="14">
        <v>335.40599723854973</v>
      </c>
      <c r="J27" s="14">
        <v>2.2360399815903316</v>
      </c>
      <c r="K27" s="14">
        <v>2.3380103256066507</v>
      </c>
      <c r="L27" s="14">
        <v>4.5740503071969822</v>
      </c>
      <c r="M27" s="14">
        <v>333.06798691294307</v>
      </c>
      <c r="N27" s="23"/>
      <c r="O27" s="5">
        <f t="shared" si="1"/>
        <v>20</v>
      </c>
      <c r="P27" s="15">
        <f t="shared" ca="1" si="2"/>
        <v>335.4059972385503</v>
      </c>
      <c r="Q27" s="5">
        <f ca="1">IF(O27&gt;$D$2,0,IF($F$2=Choices!$A$2,IF(O27&gt;$E$2,OFFSET(LiborCurve!$A$1,O27,0)+$C$2,$B$2),$B$2))</f>
        <v>0.08</v>
      </c>
      <c r="R27" s="14">
        <f t="shared" ca="1" si="3"/>
        <v>2.2360399815903356</v>
      </c>
      <c r="S27" s="14">
        <f ca="1">IF(O27&gt;$D$2,0,IF($G$2=Choices!$B$1,-PMT(Q27/12,$D$2-(O27-1),P27),0))</f>
        <v>4.5740503071969565</v>
      </c>
      <c r="T27" s="14">
        <f ca="1">IF(AND($G$2=Choices!$B$2,O27=$D$2),P27,IF(AND($G$2=Choices!$B$2,O27&lt;$D$2),0,S27-R27))</f>
        <v>2.3380103256066209</v>
      </c>
      <c r="U27" s="14">
        <f t="shared" ca="1" si="4"/>
        <v>4.5740503071969565</v>
      </c>
      <c r="V27" s="14">
        <f t="shared" ca="1" si="5"/>
        <v>333.0679869129437</v>
      </c>
    </row>
    <row r="28" spans="1:22" x14ac:dyDescent="0.2">
      <c r="A28" s="5">
        <f t="shared" si="0"/>
        <v>21</v>
      </c>
      <c r="B28" s="23"/>
      <c r="C28" s="14">
        <v>333.06798691294307</v>
      </c>
      <c r="D28" s="14">
        <v>2.2204532460862869</v>
      </c>
      <c r="E28" s="14">
        <v>2.3535970611106944</v>
      </c>
      <c r="F28" s="14">
        <v>4.5740503071969814</v>
      </c>
      <c r="G28" s="14">
        <v>330.71438985183238</v>
      </c>
      <c r="H28" s="23"/>
      <c r="I28" s="14">
        <v>333.06798691294307</v>
      </c>
      <c r="J28" s="14">
        <v>2.2204532460862869</v>
      </c>
      <c r="K28" s="14">
        <v>2.3535970611106944</v>
      </c>
      <c r="L28" s="14">
        <v>4.5740503071969814</v>
      </c>
      <c r="M28" s="14">
        <v>330.71438985183238</v>
      </c>
      <c r="N28" s="23"/>
      <c r="O28" s="5">
        <f t="shared" si="1"/>
        <v>21</v>
      </c>
      <c r="P28" s="15">
        <f t="shared" ca="1" si="2"/>
        <v>333.0679869129437</v>
      </c>
      <c r="Q28" s="5">
        <f ca="1">IF(O28&gt;$D$2,0,IF($F$2=Choices!$A$2,IF(O28&gt;$E$2,OFFSET(LiborCurve!$A$1,O28,0)+$C$2,$B$2),$B$2))</f>
        <v>0.08</v>
      </c>
      <c r="R28" s="14">
        <f t="shared" ca="1" si="3"/>
        <v>2.2204532460862914</v>
      </c>
      <c r="S28" s="14">
        <f ca="1">IF(O28&gt;$D$2,0,IF($G$2=Choices!$B$1,-PMT(Q28/12,$D$2-(O28-1),P28),0))</f>
        <v>4.5740503071969574</v>
      </c>
      <c r="T28" s="14">
        <f ca="1">IF(AND($G$2=Choices!$B$2,O28=$D$2),P28,IF(AND($G$2=Choices!$B$2,O28&lt;$D$2),0,S28-R28))</f>
        <v>2.353597061110666</v>
      </c>
      <c r="U28" s="14">
        <f t="shared" ca="1" si="4"/>
        <v>4.5740503071969574</v>
      </c>
      <c r="V28" s="14">
        <f t="shared" ca="1" si="5"/>
        <v>330.714389851833</v>
      </c>
    </row>
    <row r="29" spans="1:22" x14ac:dyDescent="0.2">
      <c r="A29" s="5">
        <f t="shared" si="0"/>
        <v>22</v>
      </c>
      <c r="B29" s="23"/>
      <c r="C29" s="14">
        <v>330.71438985183238</v>
      </c>
      <c r="D29" s="14">
        <v>2.2047625990122159</v>
      </c>
      <c r="E29" s="14">
        <v>2.3692877081847654</v>
      </c>
      <c r="F29" s="14">
        <v>4.5740503071969814</v>
      </c>
      <c r="G29" s="14">
        <v>328.34510214364764</v>
      </c>
      <c r="H29" s="23"/>
      <c r="I29" s="14">
        <v>330.71438985183238</v>
      </c>
      <c r="J29" s="14">
        <v>2.2047625990122159</v>
      </c>
      <c r="K29" s="14">
        <v>2.3692877081847654</v>
      </c>
      <c r="L29" s="14">
        <v>4.5740503071969814</v>
      </c>
      <c r="M29" s="14">
        <v>328.34510214364764</v>
      </c>
      <c r="N29" s="23"/>
      <c r="O29" s="5">
        <f t="shared" si="1"/>
        <v>22</v>
      </c>
      <c r="P29" s="15">
        <f t="shared" ca="1" si="2"/>
        <v>330.714389851833</v>
      </c>
      <c r="Q29" s="5">
        <f ca="1">IF(O29&gt;$D$2,0,IF($F$2=Choices!$A$2,IF(O29&gt;$E$2,OFFSET(LiborCurve!$A$1,O29,0)+$C$2,$B$2),$B$2))</f>
        <v>0.08</v>
      </c>
      <c r="R29" s="14">
        <f t="shared" ca="1" si="3"/>
        <v>2.2047625990122199</v>
      </c>
      <c r="S29" s="14">
        <f ca="1">IF(O29&gt;$D$2,0,IF($G$2=Choices!$B$1,-PMT(Q29/12,$D$2-(O29-1),P29),0))</f>
        <v>4.5740503071969556</v>
      </c>
      <c r="T29" s="14">
        <f ca="1">IF(AND($G$2=Choices!$B$2,O29=$D$2),P29,IF(AND($G$2=Choices!$B$2,O29&lt;$D$2),0,S29-R29))</f>
        <v>2.3692877081847357</v>
      </c>
      <c r="U29" s="14">
        <f t="shared" ca="1" si="4"/>
        <v>4.5740503071969556</v>
      </c>
      <c r="V29" s="14">
        <f t="shared" ca="1" si="5"/>
        <v>328.34510214364826</v>
      </c>
    </row>
    <row r="30" spans="1:22" x14ac:dyDescent="0.2">
      <c r="A30" s="5">
        <f t="shared" si="0"/>
        <v>23</v>
      </c>
      <c r="B30" s="23"/>
      <c r="C30" s="14">
        <v>328.34510214364764</v>
      </c>
      <c r="D30" s="14">
        <v>2.1889673476243177</v>
      </c>
      <c r="E30" s="14">
        <v>2.3850829595726628</v>
      </c>
      <c r="F30" s="14">
        <v>4.5740503071969805</v>
      </c>
      <c r="G30" s="14">
        <v>325.96001918407495</v>
      </c>
      <c r="H30" s="23"/>
      <c r="I30" s="14">
        <v>328.34510214364764</v>
      </c>
      <c r="J30" s="14">
        <v>2.1889673476243177</v>
      </c>
      <c r="K30" s="14">
        <v>2.3850829595726628</v>
      </c>
      <c r="L30" s="14">
        <v>4.5740503071969805</v>
      </c>
      <c r="M30" s="14">
        <v>325.96001918407495</v>
      </c>
      <c r="N30" s="23"/>
      <c r="O30" s="5">
        <f t="shared" si="1"/>
        <v>23</v>
      </c>
      <c r="P30" s="15">
        <f t="shared" ca="1" si="2"/>
        <v>328.34510214364826</v>
      </c>
      <c r="Q30" s="5">
        <f ca="1">IF(O30&gt;$D$2,0,IF($F$2=Choices!$A$2,IF(O30&gt;$E$2,OFFSET(LiborCurve!$A$1,O30,0)+$C$2,$B$2),$B$2))</f>
        <v>0.08</v>
      </c>
      <c r="R30" s="14">
        <f t="shared" ca="1" si="3"/>
        <v>2.1889673476243217</v>
      </c>
      <c r="S30" s="14">
        <f ca="1">IF(O30&gt;$D$2,0,IF($G$2=Choices!$B$1,-PMT(Q30/12,$D$2-(O30-1),P30),0))</f>
        <v>4.5740503071969556</v>
      </c>
      <c r="T30" s="14">
        <f ca="1">IF(AND($G$2=Choices!$B$2,O30=$D$2),P30,IF(AND($G$2=Choices!$B$2,O30&lt;$D$2),0,S30-R30))</f>
        <v>2.3850829595726339</v>
      </c>
      <c r="U30" s="14">
        <f t="shared" ca="1" si="4"/>
        <v>4.5740503071969556</v>
      </c>
      <c r="V30" s="14">
        <f t="shared" ca="1" si="5"/>
        <v>325.96001918407563</v>
      </c>
    </row>
    <row r="31" spans="1:22" x14ac:dyDescent="0.2">
      <c r="A31" s="5">
        <f t="shared" si="0"/>
        <v>24</v>
      </c>
      <c r="B31" s="23"/>
      <c r="C31" s="14">
        <v>325.96001918407495</v>
      </c>
      <c r="D31" s="14">
        <v>2.1730667945605</v>
      </c>
      <c r="E31" s="14">
        <v>2.4009835126364805</v>
      </c>
      <c r="F31" s="14">
        <v>4.5740503071969805</v>
      </c>
      <c r="G31" s="14">
        <v>323.55903567143849</v>
      </c>
      <c r="H31" s="23"/>
      <c r="I31" s="14">
        <v>325.96001918407495</v>
      </c>
      <c r="J31" s="14">
        <v>2.1730667945605</v>
      </c>
      <c r="K31" s="14">
        <v>2.4009835126364805</v>
      </c>
      <c r="L31" s="14">
        <v>4.5740503071969805</v>
      </c>
      <c r="M31" s="14">
        <v>323.55903567143849</v>
      </c>
      <c r="N31" s="23"/>
      <c r="O31" s="5">
        <f t="shared" si="1"/>
        <v>24</v>
      </c>
      <c r="P31" s="15">
        <f t="shared" ca="1" si="2"/>
        <v>325.96001918407563</v>
      </c>
      <c r="Q31" s="5">
        <f ca="1">IF(O31&gt;$D$2,0,IF($F$2=Choices!$A$2,IF(O31&gt;$E$2,OFFSET(LiborCurve!$A$1,O31,0)+$C$2,$B$2),$B$2))</f>
        <v>0.08</v>
      </c>
      <c r="R31" s="14">
        <f t="shared" ca="1" si="3"/>
        <v>2.1730667945605044</v>
      </c>
      <c r="S31" s="14">
        <f ca="1">IF(O31&gt;$D$2,0,IF($G$2=Choices!$B$1,-PMT(Q31/12,$D$2-(O31-1),P31),0))</f>
        <v>4.5740503071969574</v>
      </c>
      <c r="T31" s="14">
        <f ca="1">IF(AND($G$2=Choices!$B$2,O31=$D$2),P31,IF(AND($G$2=Choices!$B$2,O31&lt;$D$2),0,S31-R31))</f>
        <v>2.4009835126364529</v>
      </c>
      <c r="U31" s="14">
        <f t="shared" ca="1" si="4"/>
        <v>4.5740503071969574</v>
      </c>
      <c r="V31" s="14">
        <f t="shared" ca="1" si="5"/>
        <v>323.55903567143918</v>
      </c>
    </row>
    <row r="32" spans="1:22" x14ac:dyDescent="0.2">
      <c r="A32" s="5">
        <f t="shared" si="0"/>
        <v>25</v>
      </c>
      <c r="B32" s="23"/>
      <c r="C32" s="14">
        <v>323.55903567143849</v>
      </c>
      <c r="D32" s="14">
        <v>0.76656528201158303</v>
      </c>
      <c r="E32" s="14">
        <v>3.0056142506983718</v>
      </c>
      <c r="F32" s="14">
        <v>3.7721795327099548</v>
      </c>
      <c r="G32" s="14">
        <v>320.55342142074011</v>
      </c>
      <c r="H32" s="23"/>
      <c r="I32" s="14">
        <v>323.55903567143849</v>
      </c>
      <c r="J32" s="14">
        <v>0.76656528201158303</v>
      </c>
      <c r="K32" s="14">
        <v>3.0056142506983718</v>
      </c>
      <c r="L32" s="14">
        <v>3.7721795327099548</v>
      </c>
      <c r="M32" s="14">
        <v>320.55342142074011</v>
      </c>
      <c r="N32" s="23"/>
      <c r="O32" s="5">
        <f t="shared" si="1"/>
        <v>25</v>
      </c>
      <c r="P32" s="15">
        <f t="shared" ca="1" si="2"/>
        <v>323.55903567143918</v>
      </c>
      <c r="Q32" s="5">
        <f ca="1">IF(O32&gt;$D$2,0,IF($F$2=Choices!$A$2,IF(O32&gt;$E$2,OFFSET(LiborCurve!$A$1,O32,0)+$C$2,$B$2),$B$2))</f>
        <v>2.843E-2</v>
      </c>
      <c r="R32" s="14">
        <f t="shared" ca="1" si="3"/>
        <v>0.76656528201158469</v>
      </c>
      <c r="S32" s="14">
        <f ca="1">IF(O32&gt;$D$2,0,IF($G$2=Choices!$B$1,-PMT(Q32/12,$D$2-(O32-1),P32),0))</f>
        <v>3.7721795327100867</v>
      </c>
      <c r="T32" s="14">
        <f ca="1">IF(AND($G$2=Choices!$B$2,O32=$D$2),P32,IF(AND($G$2=Choices!$B$2,O32&lt;$D$2),0,S32-R32))</f>
        <v>3.005614250698502</v>
      </c>
      <c r="U32" s="14">
        <f t="shared" ca="1" si="4"/>
        <v>3.7721795327100867</v>
      </c>
      <c r="V32" s="14">
        <f t="shared" ca="1" si="5"/>
        <v>320.55342142074068</v>
      </c>
    </row>
    <row r="33" spans="1:25" x14ac:dyDescent="0.2">
      <c r="A33" s="5">
        <f t="shared" si="0"/>
        <v>26</v>
      </c>
      <c r="B33" s="23"/>
      <c r="C33" s="14">
        <v>320.55342142074011</v>
      </c>
      <c r="D33" s="14">
        <v>0.78321885967134153</v>
      </c>
      <c r="E33" s="14">
        <v>3.0018754702451744</v>
      </c>
      <c r="F33" s="14">
        <v>3.7850943299165158</v>
      </c>
      <c r="G33" s="14">
        <v>317.55154595049493</v>
      </c>
      <c r="H33" s="23"/>
      <c r="I33" s="14">
        <v>320.55342142074011</v>
      </c>
      <c r="J33" s="14">
        <v>0.78321885967134153</v>
      </c>
      <c r="K33" s="14">
        <v>3.0018754702451744</v>
      </c>
      <c r="L33" s="14">
        <v>3.7850943299165158</v>
      </c>
      <c r="M33" s="14">
        <v>317.55154595049493</v>
      </c>
      <c r="N33" s="23"/>
      <c r="O33" s="5">
        <f t="shared" si="1"/>
        <v>26</v>
      </c>
      <c r="P33" s="15">
        <f t="shared" ca="1" si="2"/>
        <v>320.55342142074068</v>
      </c>
      <c r="Q33" s="5">
        <f ca="1">IF(O33&gt;$D$2,0,IF($F$2=Choices!$A$2,IF(O33&gt;$E$2,OFFSET(LiborCurve!$A$1,O33,0)+$C$2,$B$2),$B$2))</f>
        <v>2.9319999999999999E-2</v>
      </c>
      <c r="R33" s="14">
        <f t="shared" ca="1" si="3"/>
        <v>0.78321885967134308</v>
      </c>
      <c r="S33" s="14">
        <f ca="1">IF(O33&gt;$D$2,0,IF($G$2=Choices!$B$1,-PMT(Q33/12,$D$2-(O33-1),P33),0))</f>
        <v>3.7850943299165496</v>
      </c>
      <c r="T33" s="14">
        <f ca="1">IF(AND($G$2=Choices!$B$2,O33=$D$2),P33,IF(AND($G$2=Choices!$B$2,O33&lt;$D$2),0,S33-R33))</f>
        <v>3.0018754702452064</v>
      </c>
      <c r="U33" s="14">
        <f t="shared" ca="1" si="4"/>
        <v>3.7850943299165496</v>
      </c>
      <c r="V33" s="14">
        <f t="shared" ca="1" si="5"/>
        <v>317.55154595049549</v>
      </c>
      <c r="W33" s="2"/>
      <c r="Y33" s="35"/>
    </row>
    <row r="34" spans="1:25" x14ac:dyDescent="0.2">
      <c r="A34" s="5">
        <f t="shared" si="0"/>
        <v>27</v>
      </c>
      <c r="B34" s="23"/>
      <c r="C34" s="14">
        <v>317.55154595049493</v>
      </c>
      <c r="D34" s="14">
        <v>0.79811288548891068</v>
      </c>
      <c r="E34" s="14">
        <v>2.9990738111726638</v>
      </c>
      <c r="F34" s="14">
        <v>3.7971866966615746</v>
      </c>
      <c r="G34" s="14">
        <v>314.55247213932228</v>
      </c>
      <c r="H34" s="23"/>
      <c r="I34" s="14">
        <v>317.55154595049493</v>
      </c>
      <c r="J34" s="14">
        <v>0.79811288548891068</v>
      </c>
      <c r="K34" s="14">
        <v>2.9990738111726638</v>
      </c>
      <c r="L34" s="14">
        <v>3.7971866966615746</v>
      </c>
      <c r="M34" s="14">
        <v>314.55247213932228</v>
      </c>
      <c r="N34" s="23"/>
      <c r="O34" s="5">
        <f t="shared" si="1"/>
        <v>27</v>
      </c>
      <c r="P34" s="15">
        <f t="shared" ca="1" si="2"/>
        <v>317.55154595049549</v>
      </c>
      <c r="Q34" s="5">
        <f ca="1">IF(O34&gt;$D$2,0,IF($F$2=Choices!$A$2,IF(O34&gt;$E$2,OFFSET(LiborCurve!$A$1,O34,0)+$C$2,$B$2),$B$2))</f>
        <v>3.0160000000000003E-2</v>
      </c>
      <c r="R34" s="14">
        <f t="shared" ca="1" si="3"/>
        <v>0.79811288548891213</v>
      </c>
      <c r="S34" s="14">
        <f ca="1">IF(O34&gt;$D$2,0,IF($G$2=Choices!$B$1,-PMT(Q34/12,$D$2-(O34-1),P34),0))</f>
        <v>3.7971866966616266</v>
      </c>
      <c r="T34" s="14">
        <f ca="1">IF(AND($G$2=Choices!$B$2,O34=$D$2),P34,IF(AND($G$2=Choices!$B$2,O34&lt;$D$2),0,S34-R34))</f>
        <v>2.9990738111727144</v>
      </c>
      <c r="U34" s="14">
        <f t="shared" ca="1" si="4"/>
        <v>3.7971866966616266</v>
      </c>
      <c r="V34" s="14">
        <f t="shared" ca="1" si="5"/>
        <v>314.55247213932279</v>
      </c>
    </row>
    <row r="35" spans="1:25" x14ac:dyDescent="0.2">
      <c r="A35" s="5">
        <f t="shared" si="0"/>
        <v>28</v>
      </c>
      <c r="B35" s="23"/>
      <c r="C35" s="14">
        <v>314.55247213932228</v>
      </c>
      <c r="D35" s="14">
        <v>0.81154537811945149</v>
      </c>
      <c r="E35" s="14">
        <v>2.997063695452665</v>
      </c>
      <c r="F35" s="14">
        <v>3.8086090735721165</v>
      </c>
      <c r="G35" s="14">
        <v>311.55540844386962</v>
      </c>
      <c r="H35" s="23"/>
      <c r="I35" s="14">
        <v>314.55247213932228</v>
      </c>
      <c r="J35" s="14">
        <v>0.81154537811945149</v>
      </c>
      <c r="K35" s="14">
        <v>2.997063695452665</v>
      </c>
      <c r="L35" s="14">
        <v>3.8086090735721165</v>
      </c>
      <c r="M35" s="14">
        <v>311.55540844386962</v>
      </c>
      <c r="N35" s="23"/>
      <c r="O35" s="5">
        <f t="shared" si="1"/>
        <v>28</v>
      </c>
      <c r="P35" s="15">
        <f t="shared" ca="1" si="2"/>
        <v>314.55247213932279</v>
      </c>
      <c r="Q35" s="5">
        <f ca="1">IF(O35&gt;$D$2,0,IF($F$2=Choices!$A$2,IF(O35&gt;$E$2,OFFSET(LiborCurve!$A$1,O35,0)+$C$2,$B$2),$B$2))</f>
        <v>3.0959999999999998E-2</v>
      </c>
      <c r="R35" s="14">
        <f t="shared" ca="1" si="3"/>
        <v>0.81154537811945271</v>
      </c>
      <c r="S35" s="14">
        <f ca="1">IF(O35&gt;$D$2,0,IF($G$2=Choices!$B$1,-PMT(Q35/12,$D$2-(O35-1),P35),0))</f>
        <v>3.8086090735721592</v>
      </c>
      <c r="T35" s="14">
        <f ca="1">IF(AND($G$2=Choices!$B$2,O35=$D$2),P35,IF(AND($G$2=Choices!$B$2,O35&lt;$D$2),0,S35-R35))</f>
        <v>2.9970636954527063</v>
      </c>
      <c r="U35" s="14">
        <f t="shared" ca="1" si="4"/>
        <v>3.8086090735721592</v>
      </c>
      <c r="V35" s="14">
        <f t="shared" ca="1" si="5"/>
        <v>311.55540844387008</v>
      </c>
    </row>
    <row r="36" spans="1:25" x14ac:dyDescent="0.2">
      <c r="A36" s="5">
        <f t="shared" si="0"/>
        <v>29</v>
      </c>
      <c r="B36" s="23"/>
      <c r="C36" s="14">
        <v>311.55540844386962</v>
      </c>
      <c r="D36" s="14">
        <v>0.82302553730588901</v>
      </c>
      <c r="E36" s="14">
        <v>2.9960603148667411</v>
      </c>
      <c r="F36" s="14">
        <v>3.8190858521726301</v>
      </c>
      <c r="G36" s="14">
        <v>308.5593481290029</v>
      </c>
      <c r="H36" s="23"/>
      <c r="I36" s="14">
        <v>311.55540844386962</v>
      </c>
      <c r="J36" s="14">
        <v>0.82302553730588901</v>
      </c>
      <c r="K36" s="14">
        <v>2.9960603148667411</v>
      </c>
      <c r="L36" s="14">
        <v>3.8190858521726301</v>
      </c>
      <c r="M36" s="14">
        <v>308.5593481290029</v>
      </c>
      <c r="N36" s="23"/>
      <c r="O36" s="5">
        <f t="shared" si="1"/>
        <v>29</v>
      </c>
      <c r="P36" s="15">
        <f t="shared" ca="1" si="2"/>
        <v>311.55540844387008</v>
      </c>
      <c r="Q36" s="5">
        <f ca="1">IF(O36&gt;$D$2,0,IF($F$2=Choices!$A$2,IF(O36&gt;$E$2,OFFSET(LiborCurve!$A$1,O36,0)+$C$2,$B$2),$B$2))</f>
        <v>3.1700000000000006E-2</v>
      </c>
      <c r="R36" s="14">
        <f t="shared" ca="1" si="3"/>
        <v>0.82302553730589034</v>
      </c>
      <c r="S36" s="14">
        <f ca="1">IF(O36&gt;$D$2,0,IF($G$2=Choices!$B$1,-PMT(Q36/12,$D$2-(O36-1),P36),0))</f>
        <v>3.8190858521726181</v>
      </c>
      <c r="T36" s="14">
        <f ca="1">IF(AND($G$2=Choices!$B$2,O36=$D$2),P36,IF(AND($G$2=Choices!$B$2,O36&lt;$D$2),0,S36-R36))</f>
        <v>2.9960603148667277</v>
      </c>
      <c r="U36" s="14">
        <f t="shared" ca="1" si="4"/>
        <v>3.8190858521726181</v>
      </c>
      <c r="V36" s="14">
        <f t="shared" ca="1" si="5"/>
        <v>308.55934812900335</v>
      </c>
    </row>
    <row r="37" spans="1:25" x14ac:dyDescent="0.2">
      <c r="A37" s="5">
        <f t="shared" si="0"/>
        <v>30</v>
      </c>
      <c r="B37" s="23"/>
      <c r="C37" s="14">
        <v>308.5593481290029</v>
      </c>
      <c r="D37" s="14">
        <v>0.8331102399483078</v>
      </c>
      <c r="E37" s="14">
        <v>2.9958002954414837</v>
      </c>
      <c r="F37" s="14">
        <v>3.8289105353897916</v>
      </c>
      <c r="G37" s="14">
        <v>305.56354783356142</v>
      </c>
      <c r="H37" s="23"/>
      <c r="I37" s="14">
        <v>308.5593481290029</v>
      </c>
      <c r="J37" s="14">
        <v>0.8331102399483078</v>
      </c>
      <c r="K37" s="14">
        <v>2.9958002954414837</v>
      </c>
      <c r="L37" s="14">
        <v>3.8289105353897916</v>
      </c>
      <c r="M37" s="14">
        <v>305.56354783356142</v>
      </c>
      <c r="N37" s="23"/>
      <c r="O37" s="5">
        <f t="shared" si="1"/>
        <v>30</v>
      </c>
      <c r="P37" s="15">
        <f t="shared" ca="1" si="2"/>
        <v>308.55934812900335</v>
      </c>
      <c r="Q37" s="5">
        <f ca="1">IF(O37&gt;$D$2,0,IF($F$2=Choices!$A$2,IF(O37&gt;$E$2,OFFSET(LiborCurve!$A$1,O37,0)+$C$2,$B$2),$B$2))</f>
        <v>3.2399999999999998E-2</v>
      </c>
      <c r="R37" s="14">
        <f t="shared" ca="1" si="3"/>
        <v>0.83311023994830891</v>
      </c>
      <c r="S37" s="14">
        <f ca="1">IF(O37&gt;$D$2,0,IF($G$2=Choices!$B$1,-PMT(Q37/12,$D$2-(O37-1),P37),0))</f>
        <v>3.8289105353897042</v>
      </c>
      <c r="T37" s="14">
        <f ca="1">IF(AND($G$2=Choices!$B$2,O37=$D$2),P37,IF(AND($G$2=Choices!$B$2,O37&lt;$D$2),0,S37-R37))</f>
        <v>2.9958002954413954</v>
      </c>
      <c r="U37" s="14">
        <f t="shared" ca="1" si="4"/>
        <v>3.8289105353897042</v>
      </c>
      <c r="V37" s="14">
        <f t="shared" ca="1" si="5"/>
        <v>305.56354783356198</v>
      </c>
    </row>
    <row r="38" spans="1:25" x14ac:dyDescent="0.2">
      <c r="A38" s="5">
        <f t="shared" si="0"/>
        <v>31</v>
      </c>
      <c r="B38" s="23"/>
      <c r="C38" s="14">
        <v>305.56354783356142</v>
      </c>
      <c r="D38" s="14">
        <v>0.84157293799160027</v>
      </c>
      <c r="E38" s="14">
        <v>2.996379468109069</v>
      </c>
      <c r="F38" s="14">
        <v>3.8379524061006691</v>
      </c>
      <c r="G38" s="14">
        <v>302.56716836545235</v>
      </c>
      <c r="H38" s="23"/>
      <c r="I38" s="14">
        <v>305.56354783356142</v>
      </c>
      <c r="J38" s="14">
        <v>0.84157293799160027</v>
      </c>
      <c r="K38" s="14">
        <v>2.996379468109069</v>
      </c>
      <c r="L38" s="14">
        <v>3.8379524061006691</v>
      </c>
      <c r="M38" s="14">
        <v>302.56716836545235</v>
      </c>
      <c r="N38" s="23"/>
      <c r="O38" s="5">
        <f t="shared" si="1"/>
        <v>31</v>
      </c>
      <c r="P38" s="15">
        <f t="shared" ca="1" si="2"/>
        <v>305.56354783356198</v>
      </c>
      <c r="Q38" s="5">
        <f ca="1">IF(O38&gt;$D$2,0,IF($F$2=Choices!$A$2,IF(O38&gt;$E$2,OFFSET(LiborCurve!$A$1,O38,0)+$C$2,$B$2),$B$2))</f>
        <v>3.3049999999999996E-2</v>
      </c>
      <c r="R38" s="14">
        <f t="shared" ca="1" si="3"/>
        <v>0.84157293799160193</v>
      </c>
      <c r="S38" s="14">
        <f ca="1">IF(O38&gt;$D$2,0,IF($G$2=Choices!$B$1,-PMT(Q38/12,$D$2-(O38-1),P38),0))</f>
        <v>3.8379524061006118</v>
      </c>
      <c r="T38" s="14">
        <f ca="1">IF(AND($G$2=Choices!$B$2,O38=$D$2),P38,IF(AND($G$2=Choices!$B$2,O38&lt;$D$2),0,S38-R38))</f>
        <v>2.9963794681090099</v>
      </c>
      <c r="U38" s="14">
        <f t="shared" ca="1" si="4"/>
        <v>3.8379524061006118</v>
      </c>
      <c r="V38" s="14">
        <f t="shared" ca="1" si="5"/>
        <v>302.56716836545297</v>
      </c>
    </row>
    <row r="39" spans="1:25" x14ac:dyDescent="0.2">
      <c r="A39" s="5">
        <f t="shared" si="0"/>
        <v>32</v>
      </c>
      <c r="B39" s="23"/>
      <c r="C39" s="14">
        <v>302.56716836545235</v>
      </c>
      <c r="D39" s="14">
        <v>0.84844876795812263</v>
      </c>
      <c r="E39" s="14">
        <v>2.9977738262732831</v>
      </c>
      <c r="F39" s="14">
        <v>3.8462225942314059</v>
      </c>
      <c r="G39" s="14">
        <v>299.56939453917909</v>
      </c>
      <c r="H39" s="23"/>
      <c r="I39" s="14">
        <v>302.56716836545235</v>
      </c>
      <c r="J39" s="14">
        <v>0.84844876795812263</v>
      </c>
      <c r="K39" s="14">
        <v>2.9977738262732831</v>
      </c>
      <c r="L39" s="14">
        <v>3.8462225942314059</v>
      </c>
      <c r="M39" s="14">
        <v>299.56939453917909</v>
      </c>
      <c r="N39" s="23"/>
      <c r="O39" s="5">
        <f t="shared" si="1"/>
        <v>32</v>
      </c>
      <c r="P39" s="15">
        <f t="shared" ca="1" si="2"/>
        <v>302.56716836545297</v>
      </c>
      <c r="Q39" s="5">
        <f ca="1">IF(O39&gt;$D$2,0,IF($F$2=Choices!$A$2,IF(O39&gt;$E$2,OFFSET(LiborCurve!$A$1,O39,0)+$C$2,$B$2),$B$2))</f>
        <v>3.3649999999999999E-2</v>
      </c>
      <c r="R39" s="14">
        <f t="shared" ca="1" si="3"/>
        <v>0.84844876795812441</v>
      </c>
      <c r="S39" s="14">
        <f ca="1">IF(O39&gt;$D$2,0,IF($G$2=Choices!$B$1,-PMT(Q39/12,$D$2-(O39-1),P39),0))</f>
        <v>3.8462225942314752</v>
      </c>
      <c r="T39" s="14">
        <f ca="1">IF(AND($G$2=Choices!$B$2,O39=$D$2),P39,IF(AND($G$2=Choices!$B$2,O39&lt;$D$2),0,S39-R39))</f>
        <v>2.9977738262733507</v>
      </c>
      <c r="U39" s="14">
        <f t="shared" ca="1" si="4"/>
        <v>3.8462225942314752</v>
      </c>
      <c r="V39" s="14">
        <f t="shared" ca="1" si="5"/>
        <v>299.5693945391796</v>
      </c>
    </row>
    <row r="40" spans="1:25" x14ac:dyDescent="0.2">
      <c r="A40" s="5">
        <f t="shared" si="0"/>
        <v>33</v>
      </c>
      <c r="B40" s="23"/>
      <c r="C40" s="14">
        <v>299.56939453917909</v>
      </c>
      <c r="D40" s="14">
        <v>0.85352313327454432</v>
      </c>
      <c r="E40" s="14">
        <v>3.000072845406673</v>
      </c>
      <c r="F40" s="14">
        <v>3.8535959786812173</v>
      </c>
      <c r="G40" s="14">
        <v>296.56932169377239</v>
      </c>
      <c r="H40" s="23"/>
      <c r="I40" s="14">
        <v>299.56939453917909</v>
      </c>
      <c r="J40" s="14">
        <v>0.85352313327454432</v>
      </c>
      <c r="K40" s="14">
        <v>3.000072845406673</v>
      </c>
      <c r="L40" s="14">
        <v>3.8535959786812173</v>
      </c>
      <c r="M40" s="14">
        <v>296.56932169377239</v>
      </c>
      <c r="N40" s="23"/>
      <c r="O40" s="5">
        <f t="shared" si="1"/>
        <v>33</v>
      </c>
      <c r="P40" s="15">
        <f t="shared" ca="1" si="2"/>
        <v>299.5693945391796</v>
      </c>
      <c r="Q40" s="5">
        <f ca="1">IF(O40&gt;$D$2,0,IF($F$2=Choices!$A$2,IF(O40&gt;$E$2,OFFSET(LiborCurve!$A$1,O40,0)+$C$2,$B$2),$B$2))</f>
        <v>3.4189999999999998E-2</v>
      </c>
      <c r="R40" s="14">
        <f t="shared" ca="1" si="3"/>
        <v>0.85352313327454576</v>
      </c>
      <c r="S40" s="14">
        <f ca="1">IF(O40&gt;$D$2,0,IF($G$2=Choices!$B$1,-PMT(Q40/12,$D$2-(O40-1),P40),0))</f>
        <v>3.8535959786811076</v>
      </c>
      <c r="T40" s="14">
        <f ca="1">IF(AND($G$2=Choices!$B$2,O40=$D$2),P40,IF(AND($G$2=Choices!$B$2,O40&lt;$D$2),0,S40-R40))</f>
        <v>3.0000728454065619</v>
      </c>
      <c r="U40" s="14">
        <f t="shared" ca="1" si="4"/>
        <v>3.8535959786811076</v>
      </c>
      <c r="V40" s="14">
        <f t="shared" ca="1" si="5"/>
        <v>296.56932169377302</v>
      </c>
    </row>
    <row r="41" spans="1:25" x14ac:dyDescent="0.2">
      <c r="A41" s="5">
        <f t="shared" si="0"/>
        <v>34</v>
      </c>
      <c r="B41" s="23"/>
      <c r="C41" s="14">
        <v>296.56932169377239</v>
      </c>
      <c r="D41" s="14">
        <v>0.85733248079641367</v>
      </c>
      <c r="E41" s="14">
        <v>3.0030250492799029</v>
      </c>
      <c r="F41" s="14">
        <v>3.8603575300763167</v>
      </c>
      <c r="G41" s="14">
        <v>293.56629664449247</v>
      </c>
      <c r="H41" s="23"/>
      <c r="I41" s="14">
        <v>296.56932169377239</v>
      </c>
      <c r="J41" s="14">
        <v>0.85733248079641367</v>
      </c>
      <c r="K41" s="14">
        <v>3.0030250492799029</v>
      </c>
      <c r="L41" s="14">
        <v>3.8603575300763167</v>
      </c>
      <c r="M41" s="14">
        <v>293.56629664449247</v>
      </c>
      <c r="N41" s="23"/>
      <c r="O41" s="5">
        <f t="shared" si="1"/>
        <v>34</v>
      </c>
      <c r="P41" s="15">
        <f t="shared" ca="1" si="2"/>
        <v>296.56932169377302</v>
      </c>
      <c r="Q41" s="5">
        <f ca="1">IF(O41&gt;$D$2,0,IF($F$2=Choices!$A$2,IF(O41&gt;$E$2,OFFSET(LiborCurve!$A$1,O41,0)+$C$2,$B$2),$B$2))</f>
        <v>3.4689999999999999E-2</v>
      </c>
      <c r="R41" s="14">
        <f t="shared" ca="1" si="3"/>
        <v>0.85733248079641544</v>
      </c>
      <c r="S41" s="14">
        <f ca="1">IF(O41&gt;$D$2,0,IF($G$2=Choices!$B$1,-PMT(Q41/12,$D$2-(O41-1),P41),0))</f>
        <v>3.8603575300762709</v>
      </c>
      <c r="T41" s="14">
        <f ca="1">IF(AND($G$2=Choices!$B$2,O41=$D$2),P41,IF(AND($G$2=Choices!$B$2,O41&lt;$D$2),0,S41-R41))</f>
        <v>3.0030250492798554</v>
      </c>
      <c r="U41" s="14">
        <f t="shared" ca="1" si="4"/>
        <v>3.8603575300762709</v>
      </c>
      <c r="V41" s="14">
        <f t="shared" ca="1" si="5"/>
        <v>293.56629664449315</v>
      </c>
    </row>
    <row r="42" spans="1:25" x14ac:dyDescent="0.2">
      <c r="A42" s="5">
        <f t="shared" si="0"/>
        <v>35</v>
      </c>
      <c r="B42" s="23"/>
      <c r="C42" s="14">
        <v>293.56629664449247</v>
      </c>
      <c r="D42" s="14">
        <v>0.85965997200728894</v>
      </c>
      <c r="E42" s="14">
        <v>3.0067230269117973</v>
      </c>
      <c r="F42" s="14">
        <v>3.8663829989190863</v>
      </c>
      <c r="G42" s="14">
        <v>290.55957361758067</v>
      </c>
      <c r="H42" s="23"/>
      <c r="I42" s="14">
        <v>293.56629664449247</v>
      </c>
      <c r="J42" s="14">
        <v>0.85965997200728894</v>
      </c>
      <c r="K42" s="14">
        <v>3.0067230269117973</v>
      </c>
      <c r="L42" s="14">
        <v>3.8663829989190863</v>
      </c>
      <c r="M42" s="14">
        <v>290.55957361758067</v>
      </c>
      <c r="N42" s="23"/>
      <c r="O42" s="5">
        <f t="shared" si="1"/>
        <v>35</v>
      </c>
      <c r="P42" s="15">
        <f t="shared" ca="1" si="2"/>
        <v>293.56629664449315</v>
      </c>
      <c r="Q42" s="5">
        <f ca="1">IF(O42&gt;$D$2,0,IF($F$2=Choices!$A$2,IF(O42&gt;$E$2,OFFSET(LiborCurve!$A$1,O42,0)+$C$2,$B$2),$B$2))</f>
        <v>3.5140000000000005E-2</v>
      </c>
      <c r="R42" s="14">
        <f t="shared" ca="1" si="3"/>
        <v>0.85965997200729083</v>
      </c>
      <c r="S42" s="14">
        <f ca="1">IF(O42&gt;$D$2,0,IF($G$2=Choices!$B$1,-PMT(Q42/12,$D$2-(O42-1),P42),0))</f>
        <v>3.8663829989191978</v>
      </c>
      <c r="T42" s="14">
        <f ca="1">IF(AND($G$2=Choices!$B$2,O42=$D$2),P42,IF(AND($G$2=Choices!$B$2,O42&lt;$D$2),0,S42-R42))</f>
        <v>3.006723026911907</v>
      </c>
      <c r="U42" s="14">
        <f t="shared" ca="1" si="4"/>
        <v>3.8663829989191978</v>
      </c>
      <c r="V42" s="14">
        <f t="shared" ca="1" si="5"/>
        <v>290.55957361758124</v>
      </c>
    </row>
    <row r="43" spans="1:25" x14ac:dyDescent="0.2">
      <c r="A43" s="5">
        <f t="shared" si="0"/>
        <v>36</v>
      </c>
      <c r="B43" s="23"/>
      <c r="C43" s="14">
        <v>290.55957361758067</v>
      </c>
      <c r="D43" s="14">
        <v>0.86054060386406805</v>
      </c>
      <c r="E43" s="14">
        <v>3.0111443231316284</v>
      </c>
      <c r="F43" s="14">
        <v>3.8716849269956963</v>
      </c>
      <c r="G43" s="14">
        <v>287.54842929444902</v>
      </c>
      <c r="H43" s="23"/>
      <c r="I43" s="14">
        <v>290.55957361758067</v>
      </c>
      <c r="J43" s="14">
        <v>0.86054060386406805</v>
      </c>
      <c r="K43" s="14">
        <v>3.0111443231316284</v>
      </c>
      <c r="L43" s="14">
        <v>3.8716849269956963</v>
      </c>
      <c r="M43" s="14">
        <v>287.54842929444902</v>
      </c>
      <c r="N43" s="23"/>
      <c r="O43" s="5">
        <f t="shared" si="1"/>
        <v>36</v>
      </c>
      <c r="P43" s="15">
        <f t="shared" ca="1" si="2"/>
        <v>290.55957361758124</v>
      </c>
      <c r="Q43" s="5">
        <f ca="1">IF(O43&gt;$D$2,0,IF($F$2=Choices!$A$2,IF(O43&gt;$E$2,OFFSET(LiborCurve!$A$1,O43,0)+$C$2,$B$2),$B$2))</f>
        <v>3.5540000000000002E-2</v>
      </c>
      <c r="R43" s="14">
        <f t="shared" ca="1" si="3"/>
        <v>0.86054060386406983</v>
      </c>
      <c r="S43" s="14">
        <f ca="1">IF(O43&gt;$D$2,0,IF($G$2=Choices!$B$1,-PMT(Q43/12,$D$2-(O43-1),P43),0))</f>
        <v>3.8716849269958007</v>
      </c>
      <c r="T43" s="14">
        <f ca="1">IF(AND($G$2=Choices!$B$2,O43=$D$2),P43,IF(AND($G$2=Choices!$B$2,O43&lt;$D$2),0,S43-R43))</f>
        <v>3.011144323131731</v>
      </c>
      <c r="U43" s="14">
        <f t="shared" ca="1" si="4"/>
        <v>3.8716849269958007</v>
      </c>
      <c r="V43" s="14">
        <f t="shared" ca="1" si="5"/>
        <v>287.54842929444953</v>
      </c>
    </row>
    <row r="44" spans="1:25" x14ac:dyDescent="0.2">
      <c r="A44" s="5">
        <f t="shared" si="0"/>
        <v>37</v>
      </c>
      <c r="B44" s="23"/>
      <c r="C44" s="14">
        <v>287.54842929444902</v>
      </c>
      <c r="D44" s="14">
        <v>0.86000942728148144</v>
      </c>
      <c r="E44" s="14">
        <v>3.0162667442648678</v>
      </c>
      <c r="F44" s="14">
        <v>3.8762761715463494</v>
      </c>
      <c r="G44" s="14">
        <v>284.53216255018418</v>
      </c>
      <c r="H44" s="23"/>
      <c r="I44" s="14">
        <v>287.54842929444902</v>
      </c>
      <c r="J44" s="14">
        <v>0.86000942728148144</v>
      </c>
      <c r="K44" s="14">
        <v>3.0162667442648678</v>
      </c>
      <c r="L44" s="14">
        <v>3.8762761715463494</v>
      </c>
      <c r="M44" s="14">
        <v>284.53216255018418</v>
      </c>
      <c r="N44" s="23"/>
      <c r="O44" s="5">
        <f t="shared" si="1"/>
        <v>37</v>
      </c>
      <c r="P44" s="15">
        <f t="shared" ca="1" si="2"/>
        <v>287.54842929444953</v>
      </c>
      <c r="Q44" s="5">
        <f ca="1">IF(O44&gt;$D$2,0,IF($F$2=Choices!$A$2,IF(O44&gt;$E$2,OFFSET(LiborCurve!$A$1,O44,0)+$C$2,$B$2),$B$2))</f>
        <v>3.5890000000000005E-2</v>
      </c>
      <c r="R44" s="14">
        <f t="shared" ca="1" si="3"/>
        <v>0.86000942728148289</v>
      </c>
      <c r="S44" s="14">
        <f ca="1">IF(O44&gt;$D$2,0,IF($G$2=Choices!$B$1,-PMT(Q44/12,$D$2-(O44-1),P44),0))</f>
        <v>3.8762761715462912</v>
      </c>
      <c r="T44" s="14">
        <f ca="1">IF(AND($G$2=Choices!$B$2,O44=$D$2),P44,IF(AND($G$2=Choices!$B$2,O44&lt;$D$2),0,S44-R44))</f>
        <v>3.0162667442648083</v>
      </c>
      <c r="U44" s="14">
        <f t="shared" ca="1" si="4"/>
        <v>3.8762761715462912</v>
      </c>
      <c r="V44" s="14">
        <f t="shared" ca="1" si="5"/>
        <v>284.53216255018475</v>
      </c>
    </row>
    <row r="45" spans="1:25" x14ac:dyDescent="0.2">
      <c r="A45" s="5">
        <f t="shared" si="0"/>
        <v>38</v>
      </c>
      <c r="B45" s="23"/>
      <c r="C45" s="14">
        <v>284.53216255018418</v>
      </c>
      <c r="D45" s="14">
        <v>0.8578644700888054</v>
      </c>
      <c r="E45" s="14">
        <v>3.0221755909108072</v>
      </c>
      <c r="F45" s="14">
        <v>3.8800400609996126</v>
      </c>
      <c r="G45" s="14">
        <v>281.50998695927336</v>
      </c>
      <c r="H45" s="23"/>
      <c r="I45" s="14">
        <v>284.53216255018418</v>
      </c>
      <c r="J45" s="14">
        <v>0.8578644700888054</v>
      </c>
      <c r="K45" s="14">
        <v>3.0221755909108072</v>
      </c>
      <c r="L45" s="14">
        <v>3.8800400609996126</v>
      </c>
      <c r="M45" s="14">
        <v>281.50998695927336</v>
      </c>
      <c r="N45" s="23"/>
      <c r="O45" s="5">
        <f t="shared" si="1"/>
        <v>38</v>
      </c>
      <c r="P45" s="15">
        <f t="shared" ca="1" si="2"/>
        <v>284.53216255018475</v>
      </c>
      <c r="Q45" s="5">
        <f ca="1">IF(O45&gt;$D$2,0,IF($F$2=Choices!$A$2,IF(O45&gt;$E$2,OFFSET(LiborCurve!$A$1,O45,0)+$C$2,$B$2),$B$2))</f>
        <v>3.6180000000000004E-2</v>
      </c>
      <c r="R45" s="14">
        <f t="shared" ca="1" si="3"/>
        <v>0.85786447008880717</v>
      </c>
      <c r="S45" s="14">
        <f ca="1">IF(O45&gt;$D$2,0,IF($G$2=Choices!$B$1,-PMT(Q45/12,$D$2-(O45-1),P45),0))</f>
        <v>3.8800400609996086</v>
      </c>
      <c r="T45" s="14">
        <f ca="1">IF(AND($G$2=Choices!$B$2,O45=$D$2),P45,IF(AND($G$2=Choices!$B$2,O45&lt;$D$2),0,S45-R45))</f>
        <v>3.0221755909108015</v>
      </c>
      <c r="U45" s="14">
        <f t="shared" ca="1" si="4"/>
        <v>3.8800400609996086</v>
      </c>
      <c r="V45" s="14">
        <f t="shared" ca="1" si="5"/>
        <v>281.50998695927393</v>
      </c>
    </row>
    <row r="46" spans="1:25" x14ac:dyDescent="0.2">
      <c r="A46" s="5">
        <f t="shared" si="0"/>
        <v>39</v>
      </c>
      <c r="B46" s="23"/>
      <c r="C46" s="14">
        <v>281.50998695927336</v>
      </c>
      <c r="D46" s="14">
        <v>0.85602495201199025</v>
      </c>
      <c r="E46" s="14">
        <v>3.0279952239738122</v>
      </c>
      <c r="F46" s="14">
        <v>3.8840201759858024</v>
      </c>
      <c r="G46" s="14">
        <v>278.48199173529957</v>
      </c>
      <c r="H46" s="23"/>
      <c r="I46" s="14">
        <v>281.50998695927336</v>
      </c>
      <c r="J46" s="14">
        <v>0.85602495201199025</v>
      </c>
      <c r="K46" s="14">
        <v>3.0279952239738122</v>
      </c>
      <c r="L46" s="14">
        <v>3.8840201759858024</v>
      </c>
      <c r="M46" s="14">
        <v>278.48199173529957</v>
      </c>
      <c r="N46" s="23"/>
      <c r="O46" s="5">
        <f t="shared" si="1"/>
        <v>39</v>
      </c>
      <c r="P46" s="15">
        <f t="shared" ca="1" si="2"/>
        <v>281.50998695927393</v>
      </c>
      <c r="Q46" s="5">
        <f ca="1">IF(O46&gt;$D$2,0,IF($F$2=Choices!$A$2,IF(O46&gt;$E$2,OFFSET(LiborCurve!$A$1,O46,0)+$C$2,$B$2),$B$2))</f>
        <v>3.6489999999999995E-2</v>
      </c>
      <c r="R46" s="14">
        <f t="shared" ca="1" si="3"/>
        <v>0.85602495201199202</v>
      </c>
      <c r="S46" s="14">
        <f ca="1">IF(O46&gt;$D$2,0,IF($G$2=Choices!$B$1,-PMT(Q46/12,$D$2-(O46-1),P46),0))</f>
        <v>3.8840201759858659</v>
      </c>
      <c r="T46" s="14">
        <f ca="1">IF(AND($G$2=Choices!$B$2,O46=$D$2),P46,IF(AND($G$2=Choices!$B$2,O46&lt;$D$2),0,S46-R46))</f>
        <v>3.0279952239738739</v>
      </c>
      <c r="U46" s="14">
        <f t="shared" ca="1" si="4"/>
        <v>3.8840201759858659</v>
      </c>
      <c r="V46" s="14">
        <f t="shared" ca="1" si="5"/>
        <v>278.48199173530008</v>
      </c>
    </row>
    <row r="47" spans="1:25" x14ac:dyDescent="0.2">
      <c r="A47" s="5">
        <f t="shared" si="0"/>
        <v>40</v>
      </c>
      <c r="B47" s="23"/>
      <c r="C47" s="14">
        <v>278.48199173529957</v>
      </c>
      <c r="D47" s="14">
        <v>0.85401144132158535</v>
      </c>
      <c r="E47" s="14">
        <v>3.0339454612223591</v>
      </c>
      <c r="F47" s="14">
        <v>3.8879569025439444</v>
      </c>
      <c r="G47" s="14">
        <v>275.44804627407723</v>
      </c>
      <c r="H47" s="23"/>
      <c r="I47" s="14">
        <v>278.48199173529957</v>
      </c>
      <c r="J47" s="14">
        <v>0.85401144132158535</v>
      </c>
      <c r="K47" s="14">
        <v>3.0339454612223591</v>
      </c>
      <c r="L47" s="14">
        <v>3.8879569025439444</v>
      </c>
      <c r="M47" s="14">
        <v>275.44804627407723</v>
      </c>
      <c r="N47" s="23"/>
      <c r="O47" s="5">
        <f t="shared" si="1"/>
        <v>40</v>
      </c>
      <c r="P47" s="15">
        <f t="shared" ca="1" si="2"/>
        <v>278.48199173530008</v>
      </c>
      <c r="Q47" s="5">
        <f ca="1">IF(O47&gt;$D$2,0,IF($F$2=Choices!$A$2,IF(O47&gt;$E$2,OFFSET(LiborCurve!$A$1,O47,0)+$C$2,$B$2),$B$2))</f>
        <v>3.6799999999999999E-2</v>
      </c>
      <c r="R47" s="14">
        <f t="shared" ca="1" si="3"/>
        <v>0.85401144132158702</v>
      </c>
      <c r="S47" s="14">
        <f ca="1">IF(O47&gt;$D$2,0,IF($G$2=Choices!$B$1,-PMT(Q47/12,$D$2-(O47-1),P47),0))</f>
        <v>3.8879569025440714</v>
      </c>
      <c r="T47" s="14">
        <f ca="1">IF(AND($G$2=Choices!$B$2,O47=$D$2),P47,IF(AND($G$2=Choices!$B$2,O47&lt;$D$2),0,S47-R47))</f>
        <v>3.0339454612224843</v>
      </c>
      <c r="U47" s="14">
        <f t="shared" ca="1" si="4"/>
        <v>3.8879569025440714</v>
      </c>
      <c r="V47" s="14">
        <f t="shared" ca="1" si="5"/>
        <v>275.44804627407763</v>
      </c>
    </row>
    <row r="48" spans="1:25" x14ac:dyDescent="0.2">
      <c r="A48" s="5">
        <f t="shared" si="0"/>
        <v>41</v>
      </c>
      <c r="B48" s="23"/>
      <c r="C48" s="14">
        <v>275.44804627407723</v>
      </c>
      <c r="D48" s="14">
        <v>0.85205262314114549</v>
      </c>
      <c r="E48" s="14">
        <v>3.0399231266621571</v>
      </c>
      <c r="F48" s="14">
        <v>3.8919757498033025</v>
      </c>
      <c r="G48" s="14">
        <v>272.4081231474151</v>
      </c>
      <c r="H48" s="23"/>
      <c r="I48" s="14">
        <v>275.44804627407723</v>
      </c>
      <c r="J48" s="14">
        <v>0.85205262314114549</v>
      </c>
      <c r="K48" s="14">
        <v>3.0399231266621571</v>
      </c>
      <c r="L48" s="14">
        <v>3.8919757498033025</v>
      </c>
      <c r="M48" s="14">
        <v>272.4081231474151</v>
      </c>
      <c r="N48" s="23"/>
      <c r="O48" s="5">
        <f t="shared" si="1"/>
        <v>41</v>
      </c>
      <c r="P48" s="15">
        <f t="shared" ca="1" si="2"/>
        <v>275.44804627407763</v>
      </c>
      <c r="Q48" s="5">
        <f ca="1">IF(O48&gt;$D$2,0,IF($F$2=Choices!$A$2,IF(O48&gt;$E$2,OFFSET(LiborCurve!$A$1,O48,0)+$C$2,$B$2),$B$2))</f>
        <v>3.712E-2</v>
      </c>
      <c r="R48" s="14">
        <f t="shared" ca="1" si="3"/>
        <v>0.85205262314114683</v>
      </c>
      <c r="S48" s="14">
        <f ca="1">IF(O48&gt;$D$2,0,IF($G$2=Choices!$B$1,-PMT(Q48/12,$D$2-(O48-1),P48),0))</f>
        <v>3.8919757498033736</v>
      </c>
      <c r="T48" s="14">
        <f ca="1">IF(AND($G$2=Choices!$B$2,O48=$D$2),P48,IF(AND($G$2=Choices!$B$2,O48&lt;$D$2),0,S48-R48))</f>
        <v>3.0399231266622269</v>
      </c>
      <c r="U48" s="14">
        <f t="shared" ca="1" si="4"/>
        <v>3.8919757498033736</v>
      </c>
      <c r="V48" s="14">
        <f t="shared" ca="1" si="5"/>
        <v>272.40812314741538</v>
      </c>
    </row>
    <row r="49" spans="1:22" x14ac:dyDescent="0.2">
      <c r="A49" s="5">
        <f t="shared" si="0"/>
        <v>42</v>
      </c>
      <c r="B49" s="23"/>
      <c r="C49" s="14">
        <v>272.4081231474151</v>
      </c>
      <c r="D49" s="14">
        <v>0.85036735775851424</v>
      </c>
      <c r="E49" s="14">
        <v>3.0458307374469236</v>
      </c>
      <c r="F49" s="14">
        <v>3.8961980952054378</v>
      </c>
      <c r="G49" s="14">
        <v>269.36229240996818</v>
      </c>
      <c r="H49" s="23"/>
      <c r="I49" s="14">
        <v>272.4081231474151</v>
      </c>
      <c r="J49" s="14">
        <v>0.85036735775851424</v>
      </c>
      <c r="K49" s="14">
        <v>3.0458307374469236</v>
      </c>
      <c r="L49" s="14">
        <v>3.8961980952054378</v>
      </c>
      <c r="M49" s="14">
        <v>269.36229240996818</v>
      </c>
      <c r="N49" s="23"/>
      <c r="O49" s="5">
        <f t="shared" si="1"/>
        <v>42</v>
      </c>
      <c r="P49" s="15">
        <f t="shared" ca="1" si="2"/>
        <v>272.40812314741538</v>
      </c>
      <c r="Q49" s="5">
        <f ca="1">IF(O49&gt;$D$2,0,IF($F$2=Choices!$A$2,IF(O49&gt;$E$2,OFFSET(LiborCurve!$A$1,O49,0)+$C$2,$B$2),$B$2))</f>
        <v>3.7460000000000007E-2</v>
      </c>
      <c r="R49" s="14">
        <f t="shared" ca="1" si="3"/>
        <v>0.85036735775851513</v>
      </c>
      <c r="S49" s="14">
        <f ca="1">IF(O49&gt;$D$2,0,IF($G$2=Choices!$B$1,-PMT(Q49/12,$D$2-(O49-1),P49),0))</f>
        <v>3.8961980952054653</v>
      </c>
      <c r="T49" s="14">
        <f ca="1">IF(AND($G$2=Choices!$B$2,O49=$D$2),P49,IF(AND($G$2=Choices!$B$2,O49&lt;$D$2),0,S49-R49))</f>
        <v>3.0458307374469502</v>
      </c>
      <c r="U49" s="14">
        <f t="shared" ca="1" si="4"/>
        <v>3.8961980952054653</v>
      </c>
      <c r="V49" s="14">
        <f t="shared" ca="1" si="5"/>
        <v>269.3622924099684</v>
      </c>
    </row>
    <row r="50" spans="1:22" x14ac:dyDescent="0.2">
      <c r="A50" s="5">
        <f t="shared" si="0"/>
        <v>43</v>
      </c>
      <c r="B50" s="23"/>
      <c r="C50" s="14">
        <v>269.36229240996818</v>
      </c>
      <c r="D50" s="14">
        <v>0.84849122109139985</v>
      </c>
      <c r="E50" s="14">
        <v>3.0518814883885588</v>
      </c>
      <c r="F50" s="14">
        <v>3.9003727094799587</v>
      </c>
      <c r="G50" s="14">
        <v>266.3104109215796</v>
      </c>
      <c r="H50" s="23"/>
      <c r="I50" s="14">
        <v>269.36229240996818</v>
      </c>
      <c r="J50" s="14">
        <v>0.84849122109139985</v>
      </c>
      <c r="K50" s="14">
        <v>3.0518814883885588</v>
      </c>
      <c r="L50" s="14">
        <v>3.9003727094799587</v>
      </c>
      <c r="M50" s="14">
        <v>266.3104109215796</v>
      </c>
      <c r="N50" s="23"/>
      <c r="O50" s="5">
        <f t="shared" si="1"/>
        <v>43</v>
      </c>
      <c r="P50" s="15">
        <f t="shared" ca="1" si="2"/>
        <v>269.3622924099684</v>
      </c>
      <c r="Q50" s="5">
        <f ca="1">IF(O50&gt;$D$2,0,IF($F$2=Choices!$A$2,IF(O50&gt;$E$2,OFFSET(LiborCurve!$A$1,O50,0)+$C$2,$B$2),$B$2))</f>
        <v>3.78E-2</v>
      </c>
      <c r="R50" s="14">
        <f t="shared" ca="1" si="3"/>
        <v>0.84849122109140052</v>
      </c>
      <c r="S50" s="14">
        <f ca="1">IF(O50&gt;$D$2,0,IF($G$2=Choices!$B$1,-PMT(Q50/12,$D$2-(O50-1),P50),0))</f>
        <v>3.9003727094799472</v>
      </c>
      <c r="T50" s="14">
        <f ca="1">IF(AND($G$2=Choices!$B$2,O50=$D$2),P50,IF(AND($G$2=Choices!$B$2,O50&lt;$D$2),0,S50-R50))</f>
        <v>3.0518814883885468</v>
      </c>
      <c r="U50" s="14">
        <f t="shared" ca="1" si="4"/>
        <v>3.9003727094799472</v>
      </c>
      <c r="V50" s="14">
        <f t="shared" ca="1" si="5"/>
        <v>266.31041092157983</v>
      </c>
    </row>
    <row r="51" spans="1:22" x14ac:dyDescent="0.2">
      <c r="A51" s="5">
        <f t="shared" si="0"/>
        <v>44</v>
      </c>
      <c r="B51" s="23"/>
      <c r="C51" s="14">
        <v>266.3104109215796</v>
      </c>
      <c r="D51" s="14">
        <v>0.84664518138818856</v>
      </c>
      <c r="E51" s="14">
        <v>3.0579756904234343</v>
      </c>
      <c r="F51" s="14">
        <v>3.9046208718116229</v>
      </c>
      <c r="G51" s="14">
        <v>263.25243523115614</v>
      </c>
      <c r="H51" s="23"/>
      <c r="I51" s="14">
        <v>266.3104109215796</v>
      </c>
      <c r="J51" s="14">
        <v>0.84664518138818856</v>
      </c>
      <c r="K51" s="14">
        <v>3.0579756904234343</v>
      </c>
      <c r="L51" s="14">
        <v>3.9046208718116229</v>
      </c>
      <c r="M51" s="14">
        <v>263.25243523115614</v>
      </c>
      <c r="N51" s="23"/>
      <c r="O51" s="5">
        <f t="shared" si="1"/>
        <v>44</v>
      </c>
      <c r="P51" s="15">
        <f t="shared" ca="1" si="2"/>
        <v>266.31041092157983</v>
      </c>
      <c r="Q51" s="5">
        <f ca="1">IF(O51&gt;$D$2,0,IF($F$2=Choices!$A$2,IF(O51&gt;$E$2,OFFSET(LiborCurve!$A$1,O51,0)+$C$2,$B$2),$B$2))</f>
        <v>3.8150000000000003E-2</v>
      </c>
      <c r="R51" s="14">
        <f t="shared" ca="1" si="3"/>
        <v>0.84664518138818934</v>
      </c>
      <c r="S51" s="14">
        <f ca="1">IF(O51&gt;$D$2,0,IF($G$2=Choices!$B$1,-PMT(Q51/12,$D$2-(O51-1),P51),0))</f>
        <v>3.9046208718116984</v>
      </c>
      <c r="T51" s="14">
        <f ca="1">IF(AND($G$2=Choices!$B$2,O51=$D$2),P51,IF(AND($G$2=Choices!$B$2,O51&lt;$D$2),0,S51-R51))</f>
        <v>3.0579756904235089</v>
      </c>
      <c r="U51" s="14">
        <f t="shared" ca="1" si="4"/>
        <v>3.9046208718116984</v>
      </c>
      <c r="V51" s="14">
        <f t="shared" ca="1" si="5"/>
        <v>263.25243523115631</v>
      </c>
    </row>
    <row r="52" spans="1:22" x14ac:dyDescent="0.2">
      <c r="A52" s="5">
        <f t="shared" si="0"/>
        <v>45</v>
      </c>
      <c r="B52" s="23"/>
      <c r="C52" s="14">
        <v>263.25243523115614</v>
      </c>
      <c r="D52" s="14">
        <v>0.84482094006265196</v>
      </c>
      <c r="E52" s="14">
        <v>3.0641187662691798</v>
      </c>
      <c r="F52" s="14">
        <v>3.9089397063318319</v>
      </c>
      <c r="G52" s="14">
        <v>260.18831646488695</v>
      </c>
      <c r="H52" s="23"/>
      <c r="I52" s="14">
        <v>263.25243523115614</v>
      </c>
      <c r="J52" s="14">
        <v>0.84482094006265196</v>
      </c>
      <c r="K52" s="14">
        <v>3.0641187662691798</v>
      </c>
      <c r="L52" s="14">
        <v>3.9089397063318319</v>
      </c>
      <c r="M52" s="14">
        <v>260.18831646488695</v>
      </c>
      <c r="N52" s="23"/>
      <c r="O52" s="5">
        <f t="shared" si="1"/>
        <v>45</v>
      </c>
      <c r="P52" s="15">
        <f t="shared" ca="1" si="2"/>
        <v>263.25243523115631</v>
      </c>
      <c r="Q52" s="5">
        <f ca="1">IF(O52&gt;$D$2,0,IF($F$2=Choices!$A$2,IF(O52&gt;$E$2,OFFSET(LiborCurve!$A$1,O52,0)+$C$2,$B$2),$B$2))</f>
        <v>3.8510000000000003E-2</v>
      </c>
      <c r="R52" s="14">
        <f t="shared" ca="1" si="3"/>
        <v>0.84482094006265251</v>
      </c>
      <c r="S52" s="14">
        <f ca="1">IF(O52&gt;$D$2,0,IF($G$2=Choices!$B$1,-PMT(Q52/12,$D$2-(O52-1),P52),0))</f>
        <v>3.908939706331878</v>
      </c>
      <c r="T52" s="14">
        <f ca="1">IF(AND($G$2=Choices!$B$2,O52=$D$2),P52,IF(AND($G$2=Choices!$B$2,O52&lt;$D$2),0,S52-R52))</f>
        <v>3.0641187662692255</v>
      </c>
      <c r="U52" s="14">
        <f t="shared" ca="1" si="4"/>
        <v>3.908939706331878</v>
      </c>
      <c r="V52" s="14">
        <f t="shared" ca="1" si="5"/>
        <v>260.18831646488707</v>
      </c>
    </row>
    <row r="53" spans="1:22" x14ac:dyDescent="0.2">
      <c r="A53" s="5">
        <f t="shared" si="0"/>
        <v>46</v>
      </c>
      <c r="B53" s="23"/>
      <c r="C53" s="14">
        <v>260.18831646488695</v>
      </c>
      <c r="D53" s="14">
        <v>0.84279332174917965</v>
      </c>
      <c r="E53" s="14">
        <v>3.0704144083875455</v>
      </c>
      <c r="F53" s="14">
        <v>3.9132077301367252</v>
      </c>
      <c r="G53" s="14">
        <v>257.11790205649942</v>
      </c>
      <c r="H53" s="23"/>
      <c r="I53" s="14">
        <v>260.18831646488695</v>
      </c>
      <c r="J53" s="14">
        <v>0.84279332174917965</v>
      </c>
      <c r="K53" s="14">
        <v>3.0704144083875455</v>
      </c>
      <c r="L53" s="14">
        <v>3.9132077301367252</v>
      </c>
      <c r="M53" s="14">
        <v>257.11790205649942</v>
      </c>
      <c r="N53" s="23"/>
      <c r="O53" s="5">
        <f t="shared" si="1"/>
        <v>46</v>
      </c>
      <c r="P53" s="15">
        <f t="shared" ca="1" si="2"/>
        <v>260.18831646488707</v>
      </c>
      <c r="Q53" s="5">
        <f ca="1">IF(O53&gt;$D$2,0,IF($F$2=Choices!$A$2,IF(O53&gt;$E$2,OFFSET(LiborCurve!$A$1,O53,0)+$C$2,$B$2),$B$2))</f>
        <v>3.8870000000000002E-2</v>
      </c>
      <c r="R53" s="14">
        <f t="shared" ca="1" si="3"/>
        <v>0.84279332174918009</v>
      </c>
      <c r="S53" s="14">
        <f ca="1">IF(O53&gt;$D$2,0,IF($G$2=Choices!$B$1,-PMT(Q53/12,$D$2-(O53-1),P53),0))</f>
        <v>3.9132077301367434</v>
      </c>
      <c r="T53" s="14">
        <f ca="1">IF(AND($G$2=Choices!$B$2,O53=$D$2),P53,IF(AND($G$2=Choices!$B$2,O53&lt;$D$2),0,S53-R53))</f>
        <v>3.0704144083875633</v>
      </c>
      <c r="U53" s="14">
        <f t="shared" ca="1" si="4"/>
        <v>3.9132077301367434</v>
      </c>
      <c r="V53" s="14">
        <f t="shared" ca="1" si="5"/>
        <v>257.11790205649947</v>
      </c>
    </row>
    <row r="54" spans="1:22" x14ac:dyDescent="0.2">
      <c r="A54" s="5">
        <f t="shared" si="0"/>
        <v>47</v>
      </c>
      <c r="B54" s="23"/>
      <c r="C54" s="14">
        <v>257.11790205649942</v>
      </c>
      <c r="D54" s="14">
        <v>0.84098980464313355</v>
      </c>
      <c r="E54" s="14">
        <v>3.0766693539648173</v>
      </c>
      <c r="F54" s="14">
        <v>3.9176591586079508</v>
      </c>
      <c r="G54" s="14">
        <v>254.04123270253461</v>
      </c>
      <c r="H54" s="23"/>
      <c r="I54" s="14">
        <v>257.11790205649942</v>
      </c>
      <c r="J54" s="14">
        <v>0.84098980464313355</v>
      </c>
      <c r="K54" s="14">
        <v>3.0766693539648173</v>
      </c>
      <c r="L54" s="14">
        <v>3.9176591586079508</v>
      </c>
      <c r="M54" s="14">
        <v>254.04123270253461</v>
      </c>
      <c r="N54" s="23"/>
      <c r="O54" s="5">
        <f t="shared" si="1"/>
        <v>47</v>
      </c>
      <c r="P54" s="15">
        <f t="shared" ca="1" si="2"/>
        <v>257.11790205649947</v>
      </c>
      <c r="Q54" s="5">
        <f ca="1">IF(O54&gt;$D$2,0,IF($F$2=Choices!$A$2,IF(O54&gt;$E$2,OFFSET(LiborCurve!$A$1,O54,0)+$C$2,$B$2),$B$2))</f>
        <v>3.9250000000000007E-2</v>
      </c>
      <c r="R54" s="14">
        <f t="shared" ca="1" si="3"/>
        <v>0.84098980464313389</v>
      </c>
      <c r="S54" s="14">
        <f ca="1">IF(O54&gt;$D$2,0,IF($G$2=Choices!$B$1,-PMT(Q54/12,$D$2-(O54-1),P54),0))</f>
        <v>3.9176591586079521</v>
      </c>
      <c r="T54" s="14">
        <f ca="1">IF(AND($G$2=Choices!$B$2,O54=$D$2),P54,IF(AND($G$2=Choices!$B$2,O54&lt;$D$2),0,S54-R54))</f>
        <v>3.0766693539648182</v>
      </c>
      <c r="U54" s="14">
        <f t="shared" ca="1" si="4"/>
        <v>3.9176591586079521</v>
      </c>
      <c r="V54" s="14">
        <f t="shared" ca="1" si="5"/>
        <v>254.04123270253464</v>
      </c>
    </row>
    <row r="55" spans="1:22" x14ac:dyDescent="0.2">
      <c r="A55" s="5">
        <f t="shared" si="0"/>
        <v>48</v>
      </c>
      <c r="B55" s="23"/>
      <c r="C55" s="14">
        <v>254.04123270253461</v>
      </c>
      <c r="D55" s="14">
        <v>0.83897117100012053</v>
      </c>
      <c r="E55" s="14">
        <v>3.0830856315232373</v>
      </c>
      <c r="F55" s="14">
        <v>3.922056802523358</v>
      </c>
      <c r="G55" s="14">
        <v>250.95814707101138</v>
      </c>
      <c r="H55" s="23"/>
      <c r="I55" s="14">
        <v>254.04123270253461</v>
      </c>
      <c r="J55" s="14">
        <v>0.83897117100012053</v>
      </c>
      <c r="K55" s="14">
        <v>3.0830856315232373</v>
      </c>
      <c r="L55" s="14">
        <v>3.922056802523358</v>
      </c>
      <c r="M55" s="14">
        <v>250.95814707101138</v>
      </c>
      <c r="N55" s="23"/>
      <c r="O55" s="5">
        <f t="shared" si="1"/>
        <v>48</v>
      </c>
      <c r="P55" s="15">
        <f t="shared" ca="1" si="2"/>
        <v>254.04123270253464</v>
      </c>
      <c r="Q55" s="5">
        <f ca="1">IF(O55&gt;$D$2,0,IF($F$2=Choices!$A$2,IF(O55&gt;$E$2,OFFSET(LiborCurve!$A$1,O55,0)+$C$2,$B$2),$B$2))</f>
        <v>3.9629999999999999E-2</v>
      </c>
      <c r="R55" s="14">
        <f t="shared" ca="1" si="3"/>
        <v>0.83897117100012064</v>
      </c>
      <c r="S55" s="14">
        <f ca="1">IF(O55&gt;$D$2,0,IF($G$2=Choices!$B$1,-PMT(Q55/12,$D$2-(O55-1),P55),0))</f>
        <v>3.9220568025233455</v>
      </c>
      <c r="T55" s="14">
        <f ca="1">IF(AND($G$2=Choices!$B$2,O55=$D$2),P55,IF(AND($G$2=Choices!$B$2,O55&lt;$D$2),0,S55-R55))</f>
        <v>3.0830856315232249</v>
      </c>
      <c r="U55" s="14">
        <f t="shared" ca="1" si="4"/>
        <v>3.9220568025233455</v>
      </c>
      <c r="V55" s="14">
        <f t="shared" ca="1" si="5"/>
        <v>250.95814707101141</v>
      </c>
    </row>
    <row r="56" spans="1:22" x14ac:dyDescent="0.2">
      <c r="A56" s="5">
        <f t="shared" si="0"/>
        <v>49</v>
      </c>
      <c r="B56" s="23"/>
      <c r="C56" s="14">
        <v>250.95814707101138</v>
      </c>
      <c r="D56" s="14">
        <v>0.83715455227104874</v>
      </c>
      <c r="E56" s="14">
        <v>3.089474646751071</v>
      </c>
      <c r="F56" s="14">
        <v>3.9266291990221198</v>
      </c>
      <c r="G56" s="14">
        <v>247.86867242426032</v>
      </c>
      <c r="H56" s="23"/>
      <c r="I56" s="14">
        <v>250.95814707101138</v>
      </c>
      <c r="J56" s="14">
        <v>0.83715455227104874</v>
      </c>
      <c r="K56" s="14">
        <v>3.089474646751071</v>
      </c>
      <c r="L56" s="14">
        <v>3.9266291990221198</v>
      </c>
      <c r="M56" s="14">
        <v>247.86867242426032</v>
      </c>
      <c r="N56" s="23"/>
      <c r="O56" s="5">
        <f t="shared" si="1"/>
        <v>49</v>
      </c>
      <c r="P56" s="15">
        <f t="shared" ca="1" si="2"/>
        <v>250.95814707101141</v>
      </c>
      <c r="Q56" s="5">
        <f ca="1">IF(O56&gt;$D$2,0,IF($F$2=Choices!$A$2,IF(O56&gt;$E$2,OFFSET(LiborCurve!$A$1,O56,0)+$C$2,$B$2),$B$2))</f>
        <v>4.0029999999999996E-2</v>
      </c>
      <c r="R56" s="14">
        <f t="shared" ca="1" si="3"/>
        <v>0.83715455227104885</v>
      </c>
      <c r="S56" s="14">
        <f ca="1">IF(O56&gt;$D$2,0,IF($G$2=Choices!$B$1,-PMT(Q56/12,$D$2-(O56-1),P56),0))</f>
        <v>3.9266291990221021</v>
      </c>
      <c r="T56" s="14">
        <f ca="1">IF(AND($G$2=Choices!$B$2,O56=$D$2),P56,IF(AND($G$2=Choices!$B$2,O56&lt;$D$2),0,S56-R56))</f>
        <v>3.0894746467510532</v>
      </c>
      <c r="U56" s="14">
        <f t="shared" ca="1" si="4"/>
        <v>3.9266291990221021</v>
      </c>
      <c r="V56" s="14">
        <f t="shared" ca="1" si="5"/>
        <v>247.86867242426035</v>
      </c>
    </row>
    <row r="57" spans="1:22" x14ac:dyDescent="0.2">
      <c r="A57" s="5">
        <f t="shared" si="0"/>
        <v>50</v>
      </c>
      <c r="B57" s="23"/>
      <c r="C57" s="14">
        <v>247.86867242426032</v>
      </c>
      <c r="D57" s="14">
        <v>0.835110868842737</v>
      </c>
      <c r="E57" s="14">
        <v>3.0960339346919179</v>
      </c>
      <c r="F57" s="14">
        <v>3.931144803534655</v>
      </c>
      <c r="G57" s="14">
        <v>244.77263848956841</v>
      </c>
      <c r="H57" s="23"/>
      <c r="I57" s="14">
        <v>247.86867242426032</v>
      </c>
      <c r="J57" s="14">
        <v>0.835110868842737</v>
      </c>
      <c r="K57" s="14">
        <v>3.0960339346919179</v>
      </c>
      <c r="L57" s="14">
        <v>3.931144803534655</v>
      </c>
      <c r="M57" s="14">
        <v>244.77263848956841</v>
      </c>
      <c r="N57" s="23"/>
      <c r="O57" s="5">
        <f t="shared" si="1"/>
        <v>50</v>
      </c>
      <c r="P57" s="15">
        <f t="shared" ca="1" si="2"/>
        <v>247.86867242426035</v>
      </c>
      <c r="Q57" s="5">
        <f ca="1">IF(O57&gt;$D$2,0,IF($F$2=Choices!$A$2,IF(O57&gt;$E$2,OFFSET(LiborCurve!$A$1,O57,0)+$C$2,$B$2),$B$2))</f>
        <v>4.0429999999999994E-2</v>
      </c>
      <c r="R57" s="14">
        <f t="shared" ca="1" si="3"/>
        <v>0.83511086884273711</v>
      </c>
      <c r="S57" s="14">
        <f ca="1">IF(O57&gt;$D$2,0,IF($G$2=Choices!$B$1,-PMT(Q57/12,$D$2-(O57-1),P57),0))</f>
        <v>3.9311448035346355</v>
      </c>
      <c r="T57" s="14">
        <f ca="1">IF(AND($G$2=Choices!$B$2,O57=$D$2),P57,IF(AND($G$2=Choices!$B$2,O57&lt;$D$2),0,S57-R57))</f>
        <v>3.0960339346918984</v>
      </c>
      <c r="U57" s="14">
        <f t="shared" ca="1" si="4"/>
        <v>3.9311448035346355</v>
      </c>
      <c r="V57" s="14">
        <f t="shared" ca="1" si="5"/>
        <v>244.77263848956846</v>
      </c>
    </row>
    <row r="58" spans="1:22" x14ac:dyDescent="0.2">
      <c r="A58" s="5">
        <f t="shared" si="0"/>
        <v>51</v>
      </c>
      <c r="B58" s="23"/>
      <c r="C58" s="14">
        <v>244.77263848956841</v>
      </c>
      <c r="D58" s="14">
        <v>0.83283890246075665</v>
      </c>
      <c r="E58" s="14">
        <v>3.1027645394859595</v>
      </c>
      <c r="F58" s="14">
        <v>3.9356034419467161</v>
      </c>
      <c r="G58" s="14">
        <v>241.66987395008246</v>
      </c>
      <c r="H58" s="23"/>
      <c r="I58" s="14">
        <v>244.77263848956841</v>
      </c>
      <c r="J58" s="14">
        <v>0.83283890246075665</v>
      </c>
      <c r="K58" s="14">
        <v>3.1027645394859595</v>
      </c>
      <c r="L58" s="14">
        <v>3.9356034419467161</v>
      </c>
      <c r="M58" s="14">
        <v>241.66987395008246</v>
      </c>
      <c r="N58" s="23"/>
      <c r="O58" s="5">
        <f t="shared" si="1"/>
        <v>51</v>
      </c>
      <c r="P58" s="15">
        <f t="shared" ca="1" si="2"/>
        <v>244.77263848956846</v>
      </c>
      <c r="Q58" s="5">
        <f ca="1">IF(O58&gt;$D$2,0,IF($F$2=Choices!$A$2,IF(O58&gt;$E$2,OFFSET(LiborCurve!$A$1,O58,0)+$C$2,$B$2),$B$2))</f>
        <v>4.0830000000000005E-2</v>
      </c>
      <c r="R58" s="14">
        <f t="shared" ca="1" si="3"/>
        <v>0.83283890246075687</v>
      </c>
      <c r="S58" s="14">
        <f ca="1">IF(O58&gt;$D$2,0,IF($G$2=Choices!$B$1,-PMT(Q58/12,$D$2-(O58-1),P58),0))</f>
        <v>3.9356034419466912</v>
      </c>
      <c r="T58" s="14">
        <f ca="1">IF(AND($G$2=Choices!$B$2,O58=$D$2),P58,IF(AND($G$2=Choices!$B$2,O58&lt;$D$2),0,S58-R58))</f>
        <v>3.1027645394859342</v>
      </c>
      <c r="U58" s="14">
        <f t="shared" ca="1" si="4"/>
        <v>3.9356034419466912</v>
      </c>
      <c r="V58" s="14">
        <f t="shared" ca="1" si="5"/>
        <v>241.66987395008252</v>
      </c>
    </row>
    <row r="59" spans="1:22" x14ac:dyDescent="0.2">
      <c r="A59" s="5">
        <f t="shared" si="0"/>
        <v>52</v>
      </c>
      <c r="B59" s="23"/>
      <c r="C59" s="14">
        <v>241.66987395008246</v>
      </c>
      <c r="D59" s="14">
        <v>0.83013601701853335</v>
      </c>
      <c r="E59" s="14">
        <v>3.109758848876742</v>
      </c>
      <c r="F59" s="14">
        <v>3.9398948658952753</v>
      </c>
      <c r="G59" s="14">
        <v>238.56011510120572</v>
      </c>
      <c r="H59" s="23"/>
      <c r="I59" s="14">
        <v>241.66987395008246</v>
      </c>
      <c r="J59" s="14">
        <v>0.83013601701853335</v>
      </c>
      <c r="K59" s="14">
        <v>3.109758848876742</v>
      </c>
      <c r="L59" s="14">
        <v>3.9398948658952753</v>
      </c>
      <c r="M59" s="14">
        <v>238.56011510120572</v>
      </c>
      <c r="N59" s="23"/>
      <c r="O59" s="5">
        <f t="shared" si="1"/>
        <v>52</v>
      </c>
      <c r="P59" s="15">
        <f t="shared" ca="1" si="2"/>
        <v>241.66987395008252</v>
      </c>
      <c r="Q59" s="5">
        <f ca="1">IF(O59&gt;$D$2,0,IF($F$2=Choices!$A$2,IF(O59&gt;$E$2,OFFSET(LiborCurve!$A$1,O59,0)+$C$2,$B$2),$B$2))</f>
        <v>4.1220000000000007E-2</v>
      </c>
      <c r="R59" s="14">
        <f t="shared" ca="1" si="3"/>
        <v>0.83013601701853357</v>
      </c>
      <c r="S59" s="14">
        <f ca="1">IF(O59&gt;$D$2,0,IF($G$2=Choices!$B$1,-PMT(Q59/12,$D$2-(O59-1),P59),0))</f>
        <v>3.9398948658953539</v>
      </c>
      <c r="T59" s="14">
        <f ca="1">IF(AND($G$2=Choices!$B$2,O59=$D$2),P59,IF(AND($G$2=Choices!$B$2,O59&lt;$D$2),0,S59-R59))</f>
        <v>3.1097588488768202</v>
      </c>
      <c r="U59" s="14">
        <f t="shared" ca="1" si="4"/>
        <v>3.9398948658953539</v>
      </c>
      <c r="V59" s="14">
        <f t="shared" ca="1" si="5"/>
        <v>238.5601151012057</v>
      </c>
    </row>
    <row r="60" spans="1:22" x14ac:dyDescent="0.2">
      <c r="A60" s="5">
        <f t="shared" si="0"/>
        <v>53</v>
      </c>
      <c r="B60" s="23"/>
      <c r="C60" s="14">
        <v>238.56011510120572</v>
      </c>
      <c r="D60" s="14">
        <v>0.82700839901751311</v>
      </c>
      <c r="E60" s="14">
        <v>3.1170133005117533</v>
      </c>
      <c r="F60" s="14">
        <v>3.9440216995292663</v>
      </c>
      <c r="G60" s="14">
        <v>235.44310180069397</v>
      </c>
      <c r="H60" s="23"/>
      <c r="I60" s="14">
        <v>238.56011510120572</v>
      </c>
      <c r="J60" s="14">
        <v>0.82700839901751311</v>
      </c>
      <c r="K60" s="14">
        <v>3.1170133005117533</v>
      </c>
      <c r="L60" s="14">
        <v>3.9440216995292663</v>
      </c>
      <c r="M60" s="14">
        <v>235.44310180069397</v>
      </c>
      <c r="N60" s="23"/>
      <c r="O60" s="5">
        <f t="shared" si="1"/>
        <v>53</v>
      </c>
      <c r="P60" s="15">
        <f t="shared" ca="1" si="2"/>
        <v>238.5601151012057</v>
      </c>
      <c r="Q60" s="5">
        <f ca="1">IF(O60&gt;$D$2,0,IF($F$2=Choices!$A$2,IF(O60&gt;$E$2,OFFSET(LiborCurve!$A$1,O60,0)+$C$2,$B$2),$B$2))</f>
        <v>4.1599999999999998E-2</v>
      </c>
      <c r="R60" s="14">
        <f t="shared" ca="1" si="3"/>
        <v>0.827008399017513</v>
      </c>
      <c r="S60" s="14">
        <f ca="1">IF(O60&gt;$D$2,0,IF($G$2=Choices!$B$1,-PMT(Q60/12,$D$2-(O60-1),P60),0))</f>
        <v>3.9440216995293294</v>
      </c>
      <c r="T60" s="14">
        <f ca="1">IF(AND($G$2=Choices!$B$2,O60=$D$2),P60,IF(AND($G$2=Choices!$B$2,O60&lt;$D$2),0,S60-R60))</f>
        <v>3.1170133005118164</v>
      </c>
      <c r="U60" s="14">
        <f t="shared" ca="1" si="4"/>
        <v>3.9440216995293294</v>
      </c>
      <c r="V60" s="14">
        <f t="shared" ca="1" si="5"/>
        <v>235.44310180069388</v>
      </c>
    </row>
    <row r="61" spans="1:22" x14ac:dyDescent="0.2">
      <c r="A61" s="5">
        <f t="shared" si="0"/>
        <v>54</v>
      </c>
      <c r="B61" s="23"/>
      <c r="C61" s="14">
        <v>235.44310180069397</v>
      </c>
      <c r="D61" s="14">
        <v>0.82385465371759503</v>
      </c>
      <c r="E61" s="14">
        <v>3.1243463252569708</v>
      </c>
      <c r="F61" s="14">
        <v>3.9482009789745658</v>
      </c>
      <c r="G61" s="14">
        <v>232.318755475437</v>
      </c>
      <c r="H61" s="23"/>
      <c r="I61" s="14">
        <v>235.44310180069397</v>
      </c>
      <c r="J61" s="14">
        <v>0.82385465371759503</v>
      </c>
      <c r="K61" s="14">
        <v>3.1243463252569708</v>
      </c>
      <c r="L61" s="14">
        <v>3.9482009789745658</v>
      </c>
      <c r="M61" s="14">
        <v>232.318755475437</v>
      </c>
      <c r="N61" s="23"/>
      <c r="O61" s="5">
        <f t="shared" si="1"/>
        <v>54</v>
      </c>
      <c r="P61" s="15">
        <f t="shared" ca="1" si="2"/>
        <v>235.44310180069388</v>
      </c>
      <c r="Q61" s="5">
        <f ca="1">IF(O61&gt;$D$2,0,IF($F$2=Choices!$A$2,IF(O61&gt;$E$2,OFFSET(LiborCurve!$A$1,O61,0)+$C$2,$B$2),$B$2))</f>
        <v>4.199E-2</v>
      </c>
      <c r="R61" s="14">
        <f t="shared" ca="1" si="3"/>
        <v>0.8238546537175947</v>
      </c>
      <c r="S61" s="14">
        <f ca="1">IF(O61&gt;$D$2,0,IF($G$2=Choices!$B$1,-PMT(Q61/12,$D$2-(O61-1),P61),0))</f>
        <v>3.9482009789745063</v>
      </c>
      <c r="T61" s="14">
        <f ca="1">IF(AND($G$2=Choices!$B$2,O61=$D$2),P61,IF(AND($G$2=Choices!$B$2,O61&lt;$D$2),0,S61-R61))</f>
        <v>3.1243463252569117</v>
      </c>
      <c r="U61" s="14">
        <f t="shared" ca="1" si="4"/>
        <v>3.9482009789745063</v>
      </c>
      <c r="V61" s="14">
        <f t="shared" ca="1" si="5"/>
        <v>232.31875547543697</v>
      </c>
    </row>
    <row r="62" spans="1:22" x14ac:dyDescent="0.2">
      <c r="A62" s="5">
        <f t="shared" si="0"/>
        <v>55</v>
      </c>
      <c r="B62" s="23"/>
      <c r="C62" s="14">
        <v>232.318755475437</v>
      </c>
      <c r="D62" s="14">
        <v>0.82008520682829245</v>
      </c>
      <c r="E62" s="14">
        <v>3.1320272665380195</v>
      </c>
      <c r="F62" s="14">
        <v>3.952112473366312</v>
      </c>
      <c r="G62" s="14">
        <v>229.18672820889898</v>
      </c>
      <c r="H62" s="23"/>
      <c r="I62" s="14">
        <v>232.318755475437</v>
      </c>
      <c r="J62" s="14">
        <v>0.82008520682829245</v>
      </c>
      <c r="K62" s="14">
        <v>3.1320272665380195</v>
      </c>
      <c r="L62" s="14">
        <v>3.952112473366312</v>
      </c>
      <c r="M62" s="14">
        <v>229.18672820889898</v>
      </c>
      <c r="N62" s="23"/>
      <c r="O62" s="5">
        <f t="shared" si="1"/>
        <v>55</v>
      </c>
      <c r="P62" s="15">
        <f t="shared" ca="1" si="2"/>
        <v>232.31875547543697</v>
      </c>
      <c r="Q62" s="5">
        <f ca="1">IF(O62&gt;$D$2,0,IF($F$2=Choices!$A$2,IF(O62&gt;$E$2,OFFSET(LiborCurve!$A$1,O62,0)+$C$2,$B$2),$B$2))</f>
        <v>4.2359999999999995E-2</v>
      </c>
      <c r="R62" s="14">
        <f t="shared" ca="1" si="3"/>
        <v>0.82008520682829245</v>
      </c>
      <c r="S62" s="14">
        <f ca="1">IF(O62&gt;$D$2,0,IF($G$2=Choices!$B$1,-PMT(Q62/12,$D$2-(O62-1),P62),0))</f>
        <v>3.952112473366344</v>
      </c>
      <c r="T62" s="14">
        <f ca="1">IF(AND($G$2=Choices!$B$2,O62=$D$2),P62,IF(AND($G$2=Choices!$B$2,O62&lt;$D$2),0,S62-R62))</f>
        <v>3.1320272665380515</v>
      </c>
      <c r="U62" s="14">
        <f t="shared" ca="1" si="4"/>
        <v>3.952112473366344</v>
      </c>
      <c r="V62" s="14">
        <f t="shared" ca="1" si="5"/>
        <v>229.18672820889893</v>
      </c>
    </row>
    <row r="63" spans="1:22" x14ac:dyDescent="0.2">
      <c r="A63" s="5">
        <f t="shared" si="0"/>
        <v>56</v>
      </c>
      <c r="B63" s="23"/>
      <c r="C63" s="14">
        <v>229.18672820889898</v>
      </c>
      <c r="D63" s="14">
        <v>0.81609574136385454</v>
      </c>
      <c r="E63" s="14">
        <v>3.1398745442730784</v>
      </c>
      <c r="F63" s="14">
        <v>3.955970285636933</v>
      </c>
      <c r="G63" s="14">
        <v>226.0468536646259</v>
      </c>
      <c r="H63" s="23"/>
      <c r="I63" s="14">
        <v>229.18672820889898</v>
      </c>
      <c r="J63" s="14">
        <v>0.81609574136385454</v>
      </c>
      <c r="K63" s="14">
        <v>3.1398745442730784</v>
      </c>
      <c r="L63" s="14">
        <v>3.955970285636933</v>
      </c>
      <c r="M63" s="14">
        <v>226.0468536646259</v>
      </c>
      <c r="N63" s="23"/>
      <c r="O63" s="5">
        <f t="shared" si="1"/>
        <v>56</v>
      </c>
      <c r="P63" s="15">
        <f t="shared" ca="1" si="2"/>
        <v>229.18672820889893</v>
      </c>
      <c r="Q63" s="5">
        <f ca="1">IF(O63&gt;$D$2,0,IF($F$2=Choices!$A$2,IF(O63&gt;$E$2,OFFSET(LiborCurve!$A$1,O63,0)+$C$2,$B$2),$B$2))</f>
        <v>4.2730000000000004E-2</v>
      </c>
      <c r="R63" s="14">
        <f t="shared" ca="1" si="3"/>
        <v>0.81609574136385443</v>
      </c>
      <c r="S63" s="14">
        <f ca="1">IF(O63&gt;$D$2,0,IF($G$2=Choices!$B$1,-PMT(Q63/12,$D$2-(O63-1),P63),0))</f>
        <v>3.9559702856368353</v>
      </c>
      <c r="T63" s="14">
        <f ca="1">IF(AND($G$2=Choices!$B$2,O63=$D$2),P63,IF(AND($G$2=Choices!$B$2,O63&lt;$D$2),0,S63-R63))</f>
        <v>3.1398745442729807</v>
      </c>
      <c r="U63" s="14">
        <f t="shared" ca="1" si="4"/>
        <v>3.9559702856368353</v>
      </c>
      <c r="V63" s="14">
        <f t="shared" ca="1" si="5"/>
        <v>226.04685366462596</v>
      </c>
    </row>
    <row r="64" spans="1:22" x14ac:dyDescent="0.2">
      <c r="A64" s="5">
        <f t="shared" si="0"/>
        <v>57</v>
      </c>
      <c r="B64" s="23"/>
      <c r="C64" s="14">
        <v>226.0468536646259</v>
      </c>
      <c r="D64" s="14">
        <v>0.81188494941211464</v>
      </c>
      <c r="E64" s="14">
        <v>3.1478893144794822</v>
      </c>
      <c r="F64" s="14">
        <v>3.9597742638915969</v>
      </c>
      <c r="G64" s="14">
        <v>222.89896435014643</v>
      </c>
      <c r="H64" s="23"/>
      <c r="I64" s="14">
        <v>226.0468536646259</v>
      </c>
      <c r="J64" s="14">
        <v>0.81188494941211464</v>
      </c>
      <c r="K64" s="14">
        <v>3.1478893144794822</v>
      </c>
      <c r="L64" s="14">
        <v>3.9597742638915969</v>
      </c>
      <c r="M64" s="14">
        <v>222.89896435014643</v>
      </c>
      <c r="N64" s="23"/>
      <c r="O64" s="5">
        <f t="shared" si="1"/>
        <v>57</v>
      </c>
      <c r="P64" s="15">
        <f t="shared" ca="1" si="2"/>
        <v>226.04685366462596</v>
      </c>
      <c r="Q64" s="5">
        <f ca="1">IF(O64&gt;$D$2,0,IF($F$2=Choices!$A$2,IF(O64&gt;$E$2,OFFSET(LiborCurve!$A$1,O64,0)+$C$2,$B$2),$B$2))</f>
        <v>4.3099999999999999E-2</v>
      </c>
      <c r="R64" s="14">
        <f t="shared" ca="1" si="3"/>
        <v>0.81188494941211486</v>
      </c>
      <c r="S64" s="14">
        <f ca="1">IF(O64&gt;$D$2,0,IF($G$2=Choices!$B$1,-PMT(Q64/12,$D$2-(O64-1),P64),0))</f>
        <v>3.9597742638915912</v>
      </c>
      <c r="T64" s="14">
        <f ca="1">IF(AND($G$2=Choices!$B$2,O64=$D$2),P64,IF(AND($G$2=Choices!$B$2,O64&lt;$D$2),0,S64-R64))</f>
        <v>3.1478893144794764</v>
      </c>
      <c r="U64" s="14">
        <f t="shared" ca="1" si="4"/>
        <v>3.9597742638915912</v>
      </c>
      <c r="V64" s="14">
        <f t="shared" ca="1" si="5"/>
        <v>222.89896435014649</v>
      </c>
    </row>
    <row r="65" spans="1:22" x14ac:dyDescent="0.2">
      <c r="A65" s="5">
        <f t="shared" si="0"/>
        <v>58</v>
      </c>
      <c r="B65" s="23"/>
      <c r="C65" s="14">
        <v>222.89896435014643</v>
      </c>
      <c r="D65" s="14">
        <v>0.80726574922144689</v>
      </c>
      <c r="E65" s="14">
        <v>3.1561571272917224</v>
      </c>
      <c r="F65" s="14">
        <v>3.9634228765131692</v>
      </c>
      <c r="G65" s="14">
        <v>219.74280722285471</v>
      </c>
      <c r="H65" s="23"/>
      <c r="I65" s="14">
        <v>222.89896435014643</v>
      </c>
      <c r="J65" s="14">
        <v>0.80726574922144689</v>
      </c>
      <c r="K65" s="14">
        <v>3.1561571272917224</v>
      </c>
      <c r="L65" s="14">
        <v>3.9634228765131692</v>
      </c>
      <c r="M65" s="14">
        <v>219.74280722285471</v>
      </c>
      <c r="N65" s="23"/>
      <c r="O65" s="5">
        <f t="shared" si="1"/>
        <v>58</v>
      </c>
      <c r="P65" s="15">
        <f t="shared" ca="1" si="2"/>
        <v>222.89896435014649</v>
      </c>
      <c r="Q65" s="5">
        <f ca="1">IF(O65&gt;$D$2,0,IF($F$2=Choices!$A$2,IF(O65&gt;$E$2,OFFSET(LiborCurve!$A$1,O65,0)+$C$2,$B$2),$B$2))</f>
        <v>4.3459999999999999E-2</v>
      </c>
      <c r="R65" s="14">
        <f t="shared" ca="1" si="3"/>
        <v>0.80726574922144723</v>
      </c>
      <c r="S65" s="14">
        <f ca="1">IF(O65&gt;$D$2,0,IF($G$2=Choices!$B$1,-PMT(Q65/12,$D$2-(O65-1),P65),0))</f>
        <v>3.963422876513139</v>
      </c>
      <c r="T65" s="14">
        <f ca="1">IF(AND($G$2=Choices!$B$2,O65=$D$2),P65,IF(AND($G$2=Choices!$B$2,O65&lt;$D$2),0,S65-R65))</f>
        <v>3.1561571272916917</v>
      </c>
      <c r="U65" s="14">
        <f t="shared" ca="1" si="4"/>
        <v>3.963422876513139</v>
      </c>
      <c r="V65" s="14">
        <f t="shared" ca="1" si="5"/>
        <v>219.74280722285479</v>
      </c>
    </row>
    <row r="66" spans="1:22" x14ac:dyDescent="0.2">
      <c r="A66" s="5">
        <f t="shared" si="0"/>
        <v>59</v>
      </c>
      <c r="B66" s="23"/>
      <c r="C66" s="14">
        <v>219.74280722285471</v>
      </c>
      <c r="D66" s="14">
        <v>0.80242748437545774</v>
      </c>
      <c r="E66" s="14">
        <v>3.1645912745488536</v>
      </c>
      <c r="F66" s="14">
        <v>3.9670187589243113</v>
      </c>
      <c r="G66" s="14">
        <v>216.57821594830585</v>
      </c>
      <c r="H66" s="23"/>
      <c r="I66" s="14">
        <v>219.74280722285471</v>
      </c>
      <c r="J66" s="14">
        <v>0.80242748437545774</v>
      </c>
      <c r="K66" s="14">
        <v>3.1645912745488536</v>
      </c>
      <c r="L66" s="14">
        <v>3.9670187589243113</v>
      </c>
      <c r="M66" s="14">
        <v>216.57821594830585</v>
      </c>
      <c r="N66" s="23"/>
      <c r="O66" s="5">
        <f t="shared" si="1"/>
        <v>59</v>
      </c>
      <c r="P66" s="15">
        <f t="shared" ca="1" si="2"/>
        <v>219.74280722285479</v>
      </c>
      <c r="Q66" s="5">
        <f ca="1">IF(O66&gt;$D$2,0,IF($F$2=Choices!$A$2,IF(O66&gt;$E$2,OFFSET(LiborCurve!$A$1,O66,0)+$C$2,$B$2),$B$2))</f>
        <v>4.3819999999999998E-2</v>
      </c>
      <c r="R66" s="14">
        <f t="shared" ca="1" si="3"/>
        <v>0.80242748437545808</v>
      </c>
      <c r="S66" s="14">
        <f ca="1">IF(O66&gt;$D$2,0,IF($G$2=Choices!$B$1,-PMT(Q66/12,$D$2-(O66-1),P66),0))</f>
        <v>3.9670187589242567</v>
      </c>
      <c r="T66" s="14">
        <f ca="1">IF(AND($G$2=Choices!$B$2,O66=$D$2),P66,IF(AND($G$2=Choices!$B$2,O66&lt;$D$2),0,S66-R66))</f>
        <v>3.1645912745487985</v>
      </c>
      <c r="U66" s="14">
        <f t="shared" ca="1" si="4"/>
        <v>3.9670187589242567</v>
      </c>
      <c r="V66" s="14">
        <f t="shared" ca="1" si="5"/>
        <v>216.578215948306</v>
      </c>
    </row>
    <row r="67" spans="1:22" x14ac:dyDescent="0.2">
      <c r="A67" s="5">
        <f t="shared" si="0"/>
        <v>60</v>
      </c>
      <c r="B67" s="23"/>
      <c r="C67" s="14">
        <v>216.57821594830585</v>
      </c>
      <c r="D67" s="14">
        <v>0.79718831653638922</v>
      </c>
      <c r="E67" s="14">
        <v>3.1732750066070907</v>
      </c>
      <c r="F67" s="14">
        <v>3.97046332314348</v>
      </c>
      <c r="G67" s="14">
        <v>213.40494094169875</v>
      </c>
      <c r="H67" s="23"/>
      <c r="I67" s="14">
        <v>216.57821594830585</v>
      </c>
      <c r="J67" s="14">
        <v>0.79718831653638922</v>
      </c>
      <c r="K67" s="14">
        <v>3.1732750066070907</v>
      </c>
      <c r="L67" s="14">
        <v>3.97046332314348</v>
      </c>
      <c r="M67" s="14">
        <v>213.40494094169875</v>
      </c>
      <c r="N67" s="23"/>
      <c r="O67" s="5">
        <f t="shared" si="1"/>
        <v>60</v>
      </c>
      <c r="P67" s="15">
        <f t="shared" ca="1" si="2"/>
        <v>216.578215948306</v>
      </c>
      <c r="Q67" s="5">
        <f ca="1">IF(O67&gt;$D$2,0,IF($F$2=Choices!$A$2,IF(O67&gt;$E$2,OFFSET(LiborCurve!$A$1,O67,0)+$C$2,$B$2),$B$2))</f>
        <v>4.4170000000000001E-2</v>
      </c>
      <c r="R67" s="14">
        <f t="shared" ca="1" si="3"/>
        <v>0.79718831653638966</v>
      </c>
      <c r="S67" s="14">
        <f ca="1">IF(O67&gt;$D$2,0,IF($G$2=Choices!$B$1,-PMT(Q67/12,$D$2-(O67-1),P67),0))</f>
        <v>3.970463323143504</v>
      </c>
      <c r="T67" s="14">
        <f ca="1">IF(AND($G$2=Choices!$B$2,O67=$D$2),P67,IF(AND($G$2=Choices!$B$2,O67&lt;$D$2),0,S67-R67))</f>
        <v>3.1732750066071143</v>
      </c>
      <c r="U67" s="14">
        <f t="shared" ca="1" si="4"/>
        <v>3.970463323143504</v>
      </c>
      <c r="V67" s="14">
        <f t="shared" ca="1" si="5"/>
        <v>213.40494094169887</v>
      </c>
    </row>
    <row r="68" spans="1:22" x14ac:dyDescent="0.2">
      <c r="A68" s="5">
        <f t="shared" si="0"/>
        <v>61</v>
      </c>
      <c r="B68" s="23"/>
      <c r="C68" s="14">
        <v>213.40494094169875</v>
      </c>
      <c r="D68" s="14">
        <v>0.79173233089370243</v>
      </c>
      <c r="E68" s="14">
        <v>3.1821239582956427</v>
      </c>
      <c r="F68" s="14">
        <v>3.973856289189345</v>
      </c>
      <c r="G68" s="14">
        <v>210.22281698340311</v>
      </c>
      <c r="H68" s="23"/>
      <c r="I68" s="14">
        <v>213.40494094169875</v>
      </c>
      <c r="J68" s="14">
        <v>0.79173233089370243</v>
      </c>
      <c r="K68" s="14">
        <v>3.1821239582956427</v>
      </c>
      <c r="L68" s="14">
        <v>3.973856289189345</v>
      </c>
      <c r="M68" s="14">
        <v>210.22281698340311</v>
      </c>
      <c r="N68" s="23"/>
      <c r="O68" s="5">
        <f t="shared" si="1"/>
        <v>61</v>
      </c>
      <c r="P68" s="15">
        <f t="shared" ca="1" si="2"/>
        <v>213.40494094169887</v>
      </c>
      <c r="Q68" s="5">
        <f ca="1">IF(O68&gt;$D$2,0,IF($F$2=Choices!$A$2,IF(O68&gt;$E$2,OFFSET(LiborCurve!$A$1,O68,0)+$C$2,$B$2),$B$2))</f>
        <v>4.4520000000000004E-2</v>
      </c>
      <c r="R68" s="14">
        <f t="shared" ca="1" si="3"/>
        <v>0.79173233089370287</v>
      </c>
      <c r="S68" s="14">
        <f ca="1">IF(O68&gt;$D$2,0,IF($G$2=Choices!$B$1,-PMT(Q68/12,$D$2-(O68-1),P68),0))</f>
        <v>3.9738562891894453</v>
      </c>
      <c r="T68" s="14">
        <f ca="1">IF(AND($G$2=Choices!$B$2,O68=$D$2),P68,IF(AND($G$2=Choices!$B$2,O68&lt;$D$2),0,S68-R68))</f>
        <v>3.1821239582957426</v>
      </c>
      <c r="U68" s="14">
        <f t="shared" ca="1" si="4"/>
        <v>3.9738562891894453</v>
      </c>
      <c r="V68" s="14">
        <f t="shared" ca="1" si="5"/>
        <v>210.22281698340313</v>
      </c>
    </row>
    <row r="69" spans="1:22" x14ac:dyDescent="0.2">
      <c r="A69" s="5">
        <f t="shared" si="0"/>
        <v>62</v>
      </c>
      <c r="B69" s="23"/>
      <c r="C69" s="14">
        <v>210.22281698340311</v>
      </c>
      <c r="D69" s="14">
        <v>0.78588296415628855</v>
      </c>
      <c r="E69" s="14">
        <v>3.1912190670797713</v>
      </c>
      <c r="F69" s="14">
        <v>3.9771020312360599</v>
      </c>
      <c r="G69" s="14">
        <v>207.03159791632334</v>
      </c>
      <c r="H69" s="23"/>
      <c r="I69" s="14">
        <v>210.22281698340311</v>
      </c>
      <c r="J69" s="14">
        <v>0.78588296415628855</v>
      </c>
      <c r="K69" s="14">
        <v>3.1912190670797713</v>
      </c>
      <c r="L69" s="14">
        <v>3.9771020312360599</v>
      </c>
      <c r="M69" s="14">
        <v>207.03159791632334</v>
      </c>
      <c r="N69" s="23"/>
      <c r="O69" s="5">
        <f t="shared" si="1"/>
        <v>62</v>
      </c>
      <c r="P69" s="15">
        <f t="shared" ca="1" si="2"/>
        <v>210.22281698340313</v>
      </c>
      <c r="Q69" s="5">
        <f ca="1">IF(O69&gt;$D$2,0,IF($F$2=Choices!$A$2,IF(O69&gt;$E$2,OFFSET(LiborCurve!$A$1,O69,0)+$C$2,$B$2),$B$2))</f>
        <v>4.4859999999999997E-2</v>
      </c>
      <c r="R69" s="14">
        <f t="shared" ca="1" si="3"/>
        <v>0.78588296415628867</v>
      </c>
      <c r="S69" s="14">
        <f ca="1">IF(O69&gt;$D$2,0,IF($G$2=Choices!$B$1,-PMT(Q69/12,$D$2-(O69-1),P69),0))</f>
        <v>3.977102031236122</v>
      </c>
      <c r="T69" s="14">
        <f ca="1">IF(AND($G$2=Choices!$B$2,O69=$D$2),P69,IF(AND($G$2=Choices!$B$2,O69&lt;$D$2),0,S69-R69))</f>
        <v>3.1912190670798335</v>
      </c>
      <c r="U69" s="14">
        <f t="shared" ca="1" si="4"/>
        <v>3.977102031236122</v>
      </c>
      <c r="V69" s="14">
        <f t="shared" ca="1" si="5"/>
        <v>207.03159791632331</v>
      </c>
    </row>
    <row r="70" spans="1:22" x14ac:dyDescent="0.2">
      <c r="A70" s="5">
        <f t="shared" si="0"/>
        <v>63</v>
      </c>
      <c r="B70" s="23"/>
      <c r="C70" s="14">
        <v>207.03159791632334</v>
      </c>
      <c r="D70" s="14">
        <v>0.77947396615495734</v>
      </c>
      <c r="E70" s="14">
        <v>3.2006353652331616</v>
      </c>
      <c r="F70" s="14">
        <v>3.9801093313881188</v>
      </c>
      <c r="G70" s="14">
        <v>203.83096255109018</v>
      </c>
      <c r="H70" s="23"/>
      <c r="I70" s="14">
        <v>207.03159791632334</v>
      </c>
      <c r="J70" s="14">
        <v>0.77947396615495734</v>
      </c>
      <c r="K70" s="14">
        <v>3.2006353652331616</v>
      </c>
      <c r="L70" s="14">
        <v>3.9801093313881188</v>
      </c>
      <c r="M70" s="14">
        <v>203.83096255109018</v>
      </c>
      <c r="N70" s="23"/>
      <c r="O70" s="5">
        <f t="shared" si="1"/>
        <v>63</v>
      </c>
      <c r="P70" s="15">
        <f t="shared" ca="1" si="2"/>
        <v>207.03159791632331</v>
      </c>
      <c r="Q70" s="5">
        <f ca="1">IF(O70&gt;$D$2,0,IF($F$2=Choices!$A$2,IF(O70&gt;$E$2,OFFSET(LiborCurve!$A$1,O70,0)+$C$2,$B$2),$B$2))</f>
        <v>4.5179999999999998E-2</v>
      </c>
      <c r="R70" s="14">
        <f t="shared" ca="1" si="3"/>
        <v>0.77947396615495723</v>
      </c>
      <c r="S70" s="14">
        <f ca="1">IF(O70&gt;$D$2,0,IF($G$2=Choices!$B$1,-PMT(Q70/12,$D$2-(O70-1),P70),0))</f>
        <v>3.9801093313881357</v>
      </c>
      <c r="T70" s="14">
        <f ca="1">IF(AND($G$2=Choices!$B$2,O70=$D$2),P70,IF(AND($G$2=Choices!$B$2,O70&lt;$D$2),0,S70-R70))</f>
        <v>3.2006353652331785</v>
      </c>
      <c r="U70" s="14">
        <f t="shared" ca="1" si="4"/>
        <v>3.9801093313881357</v>
      </c>
      <c r="V70" s="14">
        <f t="shared" ca="1" si="5"/>
        <v>203.83096255109012</v>
      </c>
    </row>
    <row r="71" spans="1:22" x14ac:dyDescent="0.2">
      <c r="A71" s="5">
        <f t="shared" si="0"/>
        <v>64</v>
      </c>
      <c r="B71" s="23"/>
      <c r="C71" s="14">
        <v>203.83096255109018</v>
      </c>
      <c r="D71" s="14">
        <v>0.77251934806863198</v>
      </c>
      <c r="E71" s="14">
        <v>3.2103645857113672</v>
      </c>
      <c r="F71" s="14">
        <v>3.9828839337799993</v>
      </c>
      <c r="G71" s="14">
        <v>200.62059796537881</v>
      </c>
      <c r="H71" s="23"/>
      <c r="I71" s="14">
        <v>203.83096255109018</v>
      </c>
      <c r="J71" s="14">
        <v>0.77251934806863198</v>
      </c>
      <c r="K71" s="14">
        <v>3.2103645857113672</v>
      </c>
      <c r="L71" s="14">
        <v>3.9828839337799993</v>
      </c>
      <c r="M71" s="14">
        <v>200.62059796537881</v>
      </c>
      <c r="N71" s="23"/>
      <c r="O71" s="5">
        <f t="shared" si="1"/>
        <v>64</v>
      </c>
      <c r="P71" s="15">
        <f t="shared" ca="1" si="2"/>
        <v>203.83096255109012</v>
      </c>
      <c r="Q71" s="5">
        <f ca="1">IF(O71&gt;$D$2,0,IF($F$2=Choices!$A$2,IF(O71&gt;$E$2,OFFSET(LiborCurve!$A$1,O71,0)+$C$2,$B$2),$B$2))</f>
        <v>4.5480000000000007E-2</v>
      </c>
      <c r="R71" s="14">
        <f t="shared" ca="1" si="3"/>
        <v>0.77251934806863165</v>
      </c>
      <c r="S71" s="14">
        <f ca="1">IF(O71&gt;$D$2,0,IF($G$2=Choices!$B$1,-PMT(Q71/12,$D$2-(O71-1),P71),0))</f>
        <v>3.9828839337799593</v>
      </c>
      <c r="T71" s="14">
        <f ca="1">IF(AND($G$2=Choices!$B$2,O71=$D$2),P71,IF(AND($G$2=Choices!$B$2,O71&lt;$D$2),0,S71-R71))</f>
        <v>3.2103645857113277</v>
      </c>
      <c r="U71" s="14">
        <f t="shared" ca="1" si="4"/>
        <v>3.9828839337799593</v>
      </c>
      <c r="V71" s="14">
        <f t="shared" ca="1" si="5"/>
        <v>200.62059796537881</v>
      </c>
    </row>
    <row r="72" spans="1:22" x14ac:dyDescent="0.2">
      <c r="A72" s="5">
        <f t="shared" si="0"/>
        <v>65</v>
      </c>
      <c r="B72" s="23"/>
      <c r="C72" s="14">
        <v>200.62059796537881</v>
      </c>
      <c r="D72" s="14">
        <v>0.76520039740628232</v>
      </c>
      <c r="E72" s="14">
        <v>3.2203222376285656</v>
      </c>
      <c r="F72" s="14">
        <v>3.9855226350348478</v>
      </c>
      <c r="G72" s="14">
        <v>197.40027572775023</v>
      </c>
      <c r="H72" s="23"/>
      <c r="I72" s="14">
        <v>200.62059796537881</v>
      </c>
      <c r="J72" s="14">
        <v>0.76520039740628232</v>
      </c>
      <c r="K72" s="14">
        <v>3.2203222376285656</v>
      </c>
      <c r="L72" s="14">
        <v>3.9855226350348478</v>
      </c>
      <c r="M72" s="14">
        <v>197.40027572775023</v>
      </c>
      <c r="N72" s="23"/>
      <c r="O72" s="5">
        <f t="shared" si="1"/>
        <v>65</v>
      </c>
      <c r="P72" s="15">
        <f t="shared" ca="1" si="2"/>
        <v>200.62059796537881</v>
      </c>
      <c r="Q72" s="5">
        <f ca="1">IF(O72&gt;$D$2,0,IF($F$2=Choices!$A$2,IF(O72&gt;$E$2,OFFSET(LiborCurve!$A$1,O72,0)+$C$2,$B$2),$B$2))</f>
        <v>4.5770000000000005E-2</v>
      </c>
      <c r="R72" s="14">
        <f t="shared" ca="1" si="3"/>
        <v>0.76520039740628232</v>
      </c>
      <c r="S72" s="14">
        <f ca="1">IF(O72&gt;$D$2,0,IF($G$2=Choices!$B$1,-PMT(Q72/12,$D$2-(O72-1),P72),0))</f>
        <v>3.9855226350348527</v>
      </c>
      <c r="T72" s="14">
        <f ca="1">IF(AND($G$2=Choices!$B$2,O72=$D$2),P72,IF(AND($G$2=Choices!$B$2,O72&lt;$D$2),0,S72-R72))</f>
        <v>3.2203222376285705</v>
      </c>
      <c r="U72" s="14">
        <f t="shared" ca="1" si="4"/>
        <v>3.9855226350348527</v>
      </c>
      <c r="V72" s="14">
        <f t="shared" ca="1" si="5"/>
        <v>197.40027572775023</v>
      </c>
    </row>
    <row r="73" spans="1:22" x14ac:dyDescent="0.2">
      <c r="A73" s="5">
        <f t="shared" si="0"/>
        <v>66</v>
      </c>
      <c r="B73" s="23"/>
      <c r="C73" s="14">
        <v>197.40027572775023</v>
      </c>
      <c r="D73" s="14">
        <v>0.75719455764569521</v>
      </c>
      <c r="E73" s="14">
        <v>3.2306547272783073</v>
      </c>
      <c r="F73" s="14">
        <v>3.9878492849240024</v>
      </c>
      <c r="G73" s="14">
        <v>194.16962100047192</v>
      </c>
      <c r="H73" s="23"/>
      <c r="I73" s="14">
        <v>197.40027572775023</v>
      </c>
      <c r="J73" s="14">
        <v>0.75719455764569521</v>
      </c>
      <c r="K73" s="14">
        <v>3.2306547272783073</v>
      </c>
      <c r="L73" s="14">
        <v>3.9878492849240024</v>
      </c>
      <c r="M73" s="14">
        <v>194.16962100047192</v>
      </c>
      <c r="N73" s="23"/>
      <c r="O73" s="5">
        <f t="shared" si="1"/>
        <v>66</v>
      </c>
      <c r="P73" s="15">
        <f t="shared" ca="1" si="2"/>
        <v>197.40027572775023</v>
      </c>
      <c r="Q73" s="5">
        <f ca="1">IF(O73&gt;$D$2,0,IF($F$2=Choices!$A$2,IF(O73&gt;$E$2,OFFSET(LiborCurve!$A$1,O73,0)+$C$2,$B$2),$B$2))</f>
        <v>4.6030000000000001E-2</v>
      </c>
      <c r="R73" s="14">
        <f t="shared" ca="1" si="3"/>
        <v>0.75719455764569521</v>
      </c>
      <c r="S73" s="14">
        <f ca="1">IF(O73&gt;$D$2,0,IF($G$2=Choices!$B$1,-PMT(Q73/12,$D$2-(O73-1),P73),0))</f>
        <v>3.9878492849239344</v>
      </c>
      <c r="T73" s="14">
        <f ca="1">IF(AND($G$2=Choices!$B$2,O73=$D$2),P73,IF(AND($G$2=Choices!$B$2,O73&lt;$D$2),0,S73-R73))</f>
        <v>3.2306547272782393</v>
      </c>
      <c r="U73" s="14">
        <f t="shared" ca="1" si="4"/>
        <v>3.9878492849239344</v>
      </c>
      <c r="V73" s="14">
        <f t="shared" ca="1" si="5"/>
        <v>194.16962100047198</v>
      </c>
    </row>
    <row r="74" spans="1:22" x14ac:dyDescent="0.2">
      <c r="A74" s="5">
        <f t="shared" ref="A74:A137" si="6">A73+1</f>
        <v>67</v>
      </c>
      <c r="B74" s="23"/>
      <c r="C74" s="14">
        <v>194.16962100047192</v>
      </c>
      <c r="D74" s="14">
        <v>0.74868569697431975</v>
      </c>
      <c r="E74" s="14">
        <v>3.241275031514804</v>
      </c>
      <c r="F74" s="14">
        <v>3.9899607284891236</v>
      </c>
      <c r="G74" s="14">
        <v>190.9283459689571</v>
      </c>
      <c r="H74" s="23"/>
      <c r="I74" s="14">
        <v>194.16962100047192</v>
      </c>
      <c r="J74" s="14">
        <v>0.74868569697431975</v>
      </c>
      <c r="K74" s="14">
        <v>3.241275031514804</v>
      </c>
      <c r="L74" s="14">
        <v>3.9899607284891236</v>
      </c>
      <c r="M74" s="14">
        <v>190.9283459689571</v>
      </c>
      <c r="N74" s="23"/>
      <c r="O74" s="5">
        <f t="shared" ref="O74:O137" si="7">O73+1</f>
        <v>67</v>
      </c>
      <c r="P74" s="15">
        <f t="shared" ref="P74:P137" ca="1" si="8">V73</f>
        <v>194.16962100047198</v>
      </c>
      <c r="Q74" s="5">
        <f ca="1">IF(O74&gt;$D$2,0,IF($F$2=Choices!$A$2,IF(O74&gt;$E$2,OFFSET(LiborCurve!$A$1,O74,0)+$C$2,$B$2),$B$2))</f>
        <v>4.6270000000000006E-2</v>
      </c>
      <c r="R74" s="14">
        <f t="shared" ref="R74:R137" ca="1" si="9">P74*Q74/12</f>
        <v>0.74868569697431997</v>
      </c>
      <c r="S74" s="14">
        <f ca="1">IF(O74&gt;$D$2,0,IF($G$2=Choices!$B$1,-PMT(Q74/12,$D$2-(O74-1),P74),0))</f>
        <v>3.9899607284891774</v>
      </c>
      <c r="T74" s="14">
        <f ca="1">IF(AND($G$2=Choices!$B$2,O74=$D$2),P74,IF(AND($G$2=Choices!$B$2,O74&lt;$D$2),0,S74-R74))</f>
        <v>3.2412750315148573</v>
      </c>
      <c r="U74" s="14">
        <f t="shared" ref="U74:U137" ca="1" si="10">R74+T74</f>
        <v>3.9899607284891774</v>
      </c>
      <c r="V74" s="14">
        <f t="shared" ref="V74:V137" ca="1" si="11">P74-T74</f>
        <v>190.92834596895713</v>
      </c>
    </row>
    <row r="75" spans="1:22" x14ac:dyDescent="0.2">
      <c r="A75" s="5">
        <f t="shared" si="6"/>
        <v>68</v>
      </c>
      <c r="B75" s="23"/>
      <c r="C75" s="14">
        <v>190.9283459689571</v>
      </c>
      <c r="D75" s="14">
        <v>0.73984734062970869</v>
      </c>
      <c r="E75" s="14">
        <v>3.2521020128867923</v>
      </c>
      <c r="F75" s="14">
        <v>3.9919493535165009</v>
      </c>
      <c r="G75" s="14">
        <v>187.67624395607032</v>
      </c>
      <c r="H75" s="23"/>
      <c r="I75" s="14">
        <v>190.9283459689571</v>
      </c>
      <c r="J75" s="14">
        <v>0.73984734062970869</v>
      </c>
      <c r="K75" s="14">
        <v>3.2521020128867923</v>
      </c>
      <c r="L75" s="14">
        <v>3.9919493535165009</v>
      </c>
      <c r="M75" s="14">
        <v>187.67624395607032</v>
      </c>
      <c r="N75" s="23"/>
      <c r="O75" s="5">
        <f t="shared" si="7"/>
        <v>68</v>
      </c>
      <c r="P75" s="15">
        <f t="shared" ca="1" si="8"/>
        <v>190.92834596895713</v>
      </c>
      <c r="Q75" s="5">
        <f ca="1">IF(O75&gt;$D$2,0,IF($F$2=Choices!$A$2,IF(O75&gt;$E$2,OFFSET(LiborCurve!$A$1,O75,0)+$C$2,$B$2),$B$2))</f>
        <v>4.65E-2</v>
      </c>
      <c r="R75" s="14">
        <f t="shared" ca="1" si="9"/>
        <v>0.73984734062970892</v>
      </c>
      <c r="S75" s="14">
        <f ca="1">IF(O75&gt;$D$2,0,IF($G$2=Choices!$B$1,-PMT(Q75/12,$D$2-(O75-1),P75),0))</f>
        <v>3.9919493535165671</v>
      </c>
      <c r="T75" s="14">
        <f ca="1">IF(AND($G$2=Choices!$B$2,O75=$D$2),P75,IF(AND($G$2=Choices!$B$2,O75&lt;$D$2),0,S75-R75))</f>
        <v>3.2521020128868581</v>
      </c>
      <c r="U75" s="14">
        <f t="shared" ca="1" si="10"/>
        <v>3.9919493535165671</v>
      </c>
      <c r="V75" s="14">
        <f t="shared" ca="1" si="11"/>
        <v>187.67624395607027</v>
      </c>
    </row>
    <row r="76" spans="1:22" x14ac:dyDescent="0.2">
      <c r="A76" s="5">
        <f t="shared" si="6"/>
        <v>69</v>
      </c>
      <c r="B76" s="23"/>
      <c r="C76" s="14">
        <v>187.67624395607032</v>
      </c>
      <c r="D76" s="14">
        <v>0.73037338272904051</v>
      </c>
      <c r="E76" s="14">
        <v>3.2632748020593909</v>
      </c>
      <c r="F76" s="14">
        <v>3.9936481847884315</v>
      </c>
      <c r="G76" s="14">
        <v>184.41296915401094</v>
      </c>
      <c r="H76" s="23"/>
      <c r="I76" s="14">
        <v>187.67624395607032</v>
      </c>
      <c r="J76" s="14">
        <v>0.73037338272904051</v>
      </c>
      <c r="K76" s="14">
        <v>3.2632748020593909</v>
      </c>
      <c r="L76" s="14">
        <v>3.9936481847884315</v>
      </c>
      <c r="M76" s="14">
        <v>184.41296915401094</v>
      </c>
      <c r="N76" s="23"/>
      <c r="O76" s="5">
        <f t="shared" si="7"/>
        <v>69</v>
      </c>
      <c r="P76" s="15">
        <f t="shared" ca="1" si="8"/>
        <v>187.67624395607027</v>
      </c>
      <c r="Q76" s="5">
        <f ca="1">IF(O76&gt;$D$2,0,IF($F$2=Choices!$A$2,IF(O76&gt;$E$2,OFFSET(LiborCurve!$A$1,O76,0)+$C$2,$B$2),$B$2))</f>
        <v>4.6700000000000005E-2</v>
      </c>
      <c r="R76" s="14">
        <f t="shared" ca="1" si="9"/>
        <v>0.73037338272904018</v>
      </c>
      <c r="S76" s="14">
        <f ca="1">IF(O76&gt;$D$2,0,IF($G$2=Choices!$B$1,-PMT(Q76/12,$D$2-(O76-1),P76),0))</f>
        <v>3.9936481847883938</v>
      </c>
      <c r="T76" s="14">
        <f ca="1">IF(AND($G$2=Choices!$B$2,O76=$D$2),P76,IF(AND($G$2=Choices!$B$2,O76&lt;$D$2),0,S76-R76))</f>
        <v>3.2632748020593536</v>
      </c>
      <c r="U76" s="14">
        <f t="shared" ca="1" si="10"/>
        <v>3.9936481847883938</v>
      </c>
      <c r="V76" s="14">
        <f t="shared" ca="1" si="11"/>
        <v>184.41296915401091</v>
      </c>
    </row>
    <row r="77" spans="1:22" x14ac:dyDescent="0.2">
      <c r="A77" s="5">
        <f t="shared" si="6"/>
        <v>70</v>
      </c>
      <c r="B77" s="23"/>
      <c r="C77" s="14">
        <v>184.41296915401094</v>
      </c>
      <c r="D77" s="14">
        <v>0.72059367696929766</v>
      </c>
      <c r="E77" s="14">
        <v>3.2746394077551524</v>
      </c>
      <c r="F77" s="14">
        <v>3.9952330847244499</v>
      </c>
      <c r="G77" s="14">
        <v>181.13832974625578</v>
      </c>
      <c r="H77" s="23"/>
      <c r="I77" s="14">
        <v>184.41296915401094</v>
      </c>
      <c r="J77" s="14">
        <v>0.72059367696929766</v>
      </c>
      <c r="K77" s="14">
        <v>3.2746394077551524</v>
      </c>
      <c r="L77" s="14">
        <v>3.9952330847244499</v>
      </c>
      <c r="M77" s="14">
        <v>181.13832974625578</v>
      </c>
      <c r="N77" s="23"/>
      <c r="O77" s="5">
        <f t="shared" si="7"/>
        <v>70</v>
      </c>
      <c r="P77" s="15">
        <f t="shared" ca="1" si="8"/>
        <v>184.41296915401091</v>
      </c>
      <c r="Q77" s="5">
        <f ca="1">IF(O77&gt;$D$2,0,IF($F$2=Choices!$A$2,IF(O77&gt;$E$2,OFFSET(LiborCurve!$A$1,O77,0)+$C$2,$B$2),$B$2))</f>
        <v>4.6890000000000001E-2</v>
      </c>
      <c r="R77" s="14">
        <f t="shared" ca="1" si="9"/>
        <v>0.72059367696929766</v>
      </c>
      <c r="S77" s="14">
        <f ca="1">IF(O77&gt;$D$2,0,IF($G$2=Choices!$B$1,-PMT(Q77/12,$D$2-(O77-1),P77),0))</f>
        <v>3.995233084724406</v>
      </c>
      <c r="T77" s="14">
        <f ca="1">IF(AND($G$2=Choices!$B$2,O77=$D$2),P77,IF(AND($G$2=Choices!$B$2,O77&lt;$D$2),0,S77-R77))</f>
        <v>3.2746394077551084</v>
      </c>
      <c r="U77" s="14">
        <f t="shared" ca="1" si="10"/>
        <v>3.995233084724406</v>
      </c>
      <c r="V77" s="14">
        <f t="shared" ca="1" si="11"/>
        <v>181.13832974625581</v>
      </c>
    </row>
    <row r="78" spans="1:22" x14ac:dyDescent="0.2">
      <c r="A78" s="5">
        <f t="shared" si="6"/>
        <v>71</v>
      </c>
      <c r="B78" s="23"/>
      <c r="C78" s="14">
        <v>181.13832974625578</v>
      </c>
      <c r="D78" s="14">
        <v>0.71021320121344444</v>
      </c>
      <c r="E78" s="14">
        <v>3.2863300409643621</v>
      </c>
      <c r="F78" s="14">
        <v>3.9965432421778067</v>
      </c>
      <c r="G78" s="14">
        <v>177.85199970529141</v>
      </c>
      <c r="H78" s="23"/>
      <c r="I78" s="14">
        <v>181.13832974625578</v>
      </c>
      <c r="J78" s="14">
        <v>0.71021320121344444</v>
      </c>
      <c r="K78" s="14">
        <v>3.2863300409643621</v>
      </c>
      <c r="L78" s="14">
        <v>3.9965432421778067</v>
      </c>
      <c r="M78" s="14">
        <v>177.85199970529141</v>
      </c>
      <c r="N78" s="23"/>
      <c r="O78" s="5">
        <f t="shared" si="7"/>
        <v>71</v>
      </c>
      <c r="P78" s="15">
        <f t="shared" ca="1" si="8"/>
        <v>181.13832974625581</v>
      </c>
      <c r="Q78" s="5">
        <f ca="1">IF(O78&gt;$D$2,0,IF($F$2=Choices!$A$2,IF(O78&gt;$E$2,OFFSET(LiborCurve!$A$1,O78,0)+$C$2,$B$2),$B$2))</f>
        <v>4.7049999999999995E-2</v>
      </c>
      <c r="R78" s="14">
        <f t="shared" ca="1" si="9"/>
        <v>0.71021320121344456</v>
      </c>
      <c r="S78" s="14">
        <f ca="1">IF(O78&gt;$D$2,0,IF($G$2=Choices!$B$1,-PMT(Q78/12,$D$2-(O78-1),P78),0))</f>
        <v>3.9965432421778444</v>
      </c>
      <c r="T78" s="14">
        <f ca="1">IF(AND($G$2=Choices!$B$2,O78=$D$2),P78,IF(AND($G$2=Choices!$B$2,O78&lt;$D$2),0,S78-R78))</f>
        <v>3.2863300409643998</v>
      </c>
      <c r="U78" s="14">
        <f t="shared" ca="1" si="10"/>
        <v>3.9965432421778444</v>
      </c>
      <c r="V78" s="14">
        <f t="shared" ca="1" si="11"/>
        <v>177.85199970529141</v>
      </c>
    </row>
    <row r="79" spans="1:22" x14ac:dyDescent="0.2">
      <c r="A79" s="5">
        <f t="shared" si="6"/>
        <v>72</v>
      </c>
      <c r="B79" s="23"/>
      <c r="C79" s="14">
        <v>177.85199970529141</v>
      </c>
      <c r="D79" s="14">
        <v>0.69955119884081285</v>
      </c>
      <c r="E79" s="14">
        <v>3.2981972764646525</v>
      </c>
      <c r="F79" s="14">
        <v>3.9977484753054653</v>
      </c>
      <c r="G79" s="14">
        <v>174.55380242882674</v>
      </c>
      <c r="H79" s="23"/>
      <c r="I79" s="14">
        <v>177.85199970529141</v>
      </c>
      <c r="J79" s="14">
        <v>0.69955119884081285</v>
      </c>
      <c r="K79" s="14">
        <v>3.2981972764646525</v>
      </c>
      <c r="L79" s="14">
        <v>3.9977484753054653</v>
      </c>
      <c r="M79" s="14">
        <v>174.55380242882674</v>
      </c>
      <c r="N79" s="23"/>
      <c r="O79" s="5">
        <f t="shared" si="7"/>
        <v>72</v>
      </c>
      <c r="P79" s="15">
        <f t="shared" ca="1" si="8"/>
        <v>177.85199970529141</v>
      </c>
      <c r="Q79" s="5">
        <f ca="1">IF(O79&gt;$D$2,0,IF($F$2=Choices!$A$2,IF(O79&gt;$E$2,OFFSET(LiborCurve!$A$1,O79,0)+$C$2,$B$2),$B$2))</f>
        <v>4.7200000000000006E-2</v>
      </c>
      <c r="R79" s="14">
        <f t="shared" ca="1" si="9"/>
        <v>0.69955119884081285</v>
      </c>
      <c r="S79" s="14">
        <f ca="1">IF(O79&gt;$D$2,0,IF($G$2=Choices!$B$1,-PMT(Q79/12,$D$2-(O79-1),P79),0))</f>
        <v>3.9977484753054755</v>
      </c>
      <c r="T79" s="14">
        <f ca="1">IF(AND($G$2=Choices!$B$2,O79=$D$2),P79,IF(AND($G$2=Choices!$B$2,O79&lt;$D$2),0,S79-R79))</f>
        <v>3.2981972764646628</v>
      </c>
      <c r="U79" s="14">
        <f t="shared" ca="1" si="10"/>
        <v>3.9977484753054755</v>
      </c>
      <c r="V79" s="14">
        <f t="shared" ca="1" si="11"/>
        <v>174.55380242882674</v>
      </c>
    </row>
    <row r="80" spans="1:22" x14ac:dyDescent="0.2">
      <c r="A80" s="5">
        <f t="shared" si="6"/>
        <v>73</v>
      </c>
      <c r="B80" s="23"/>
      <c r="C80" s="14">
        <v>174.55380242882674</v>
      </c>
      <c r="D80" s="14">
        <v>0.6884692890796974</v>
      </c>
      <c r="E80" s="14">
        <v>3.3103036977224898</v>
      </c>
      <c r="F80" s="14">
        <v>3.9987729868021873</v>
      </c>
      <c r="G80" s="14">
        <v>171.24349873110424</v>
      </c>
      <c r="H80" s="23"/>
      <c r="I80" s="14">
        <v>174.55380242882674</v>
      </c>
      <c r="J80" s="14">
        <v>0.6884692890796974</v>
      </c>
      <c r="K80" s="14">
        <v>3.3103036977224898</v>
      </c>
      <c r="L80" s="14">
        <v>3.9987729868021873</v>
      </c>
      <c r="M80" s="14">
        <v>171.24349873110424</v>
      </c>
      <c r="N80" s="23"/>
      <c r="O80" s="5">
        <f t="shared" si="7"/>
        <v>73</v>
      </c>
      <c r="P80" s="15">
        <f t="shared" ca="1" si="8"/>
        <v>174.55380242882674</v>
      </c>
      <c r="Q80" s="5">
        <f ca="1">IF(O80&gt;$D$2,0,IF($F$2=Choices!$A$2,IF(O80&gt;$E$2,OFFSET(LiborCurve!$A$1,O80,0)+$C$2,$B$2),$B$2))</f>
        <v>4.7329999999999997E-2</v>
      </c>
      <c r="R80" s="14">
        <f t="shared" ca="1" si="9"/>
        <v>0.6884692890796974</v>
      </c>
      <c r="S80" s="14">
        <f ca="1">IF(O80&gt;$D$2,0,IF($G$2=Choices!$B$1,-PMT(Q80/12,$D$2-(O80-1),P80),0))</f>
        <v>3.9987729868021642</v>
      </c>
      <c r="T80" s="14">
        <f ca="1">IF(AND($G$2=Choices!$B$2,O80=$D$2),P80,IF(AND($G$2=Choices!$B$2,O80&lt;$D$2),0,S80-R80))</f>
        <v>3.3103036977224667</v>
      </c>
      <c r="U80" s="14">
        <f t="shared" ca="1" si="10"/>
        <v>3.9987729868021642</v>
      </c>
      <c r="V80" s="14">
        <f t="shared" ca="1" si="11"/>
        <v>171.24349873110427</v>
      </c>
    </row>
    <row r="81" spans="1:22" x14ac:dyDescent="0.2">
      <c r="A81" s="5">
        <f t="shared" si="6"/>
        <v>74</v>
      </c>
      <c r="B81" s="23"/>
      <c r="C81" s="14">
        <v>171.24349873110424</v>
      </c>
      <c r="D81" s="14">
        <v>0.67683992873468946</v>
      </c>
      <c r="E81" s="14">
        <v>3.322705689445522</v>
      </c>
      <c r="F81" s="14">
        <v>3.9995456181802114</v>
      </c>
      <c r="G81" s="14">
        <v>167.92079304165873</v>
      </c>
      <c r="H81" s="23"/>
      <c r="I81" s="14">
        <v>171.24349873110424</v>
      </c>
      <c r="J81" s="14">
        <v>0.67683992873468946</v>
      </c>
      <c r="K81" s="14">
        <v>3.322705689445522</v>
      </c>
      <c r="L81" s="14">
        <v>3.9995456181802114</v>
      </c>
      <c r="M81" s="14">
        <v>167.92079304165873</v>
      </c>
      <c r="N81" s="23"/>
      <c r="O81" s="5">
        <f t="shared" si="7"/>
        <v>74</v>
      </c>
      <c r="P81" s="15">
        <f t="shared" ca="1" si="8"/>
        <v>171.24349873110427</v>
      </c>
      <c r="Q81" s="5">
        <f ca="1">IF(O81&gt;$D$2,0,IF($F$2=Choices!$A$2,IF(O81&gt;$E$2,OFFSET(LiborCurve!$A$1,O81,0)+$C$2,$B$2),$B$2))</f>
        <v>4.743E-2</v>
      </c>
      <c r="R81" s="14">
        <f t="shared" ca="1" si="9"/>
        <v>0.67683992873468968</v>
      </c>
      <c r="S81" s="14">
        <f ca="1">IF(O81&gt;$D$2,0,IF($G$2=Choices!$B$1,-PMT(Q81/12,$D$2-(O81-1),P81),0))</f>
        <v>3.9995456181802336</v>
      </c>
      <c r="T81" s="14">
        <f ca="1">IF(AND($G$2=Choices!$B$2,O81=$D$2),P81,IF(AND($G$2=Choices!$B$2,O81&lt;$D$2),0,S81-R81))</f>
        <v>3.3227056894455438</v>
      </c>
      <c r="U81" s="14">
        <f t="shared" ca="1" si="10"/>
        <v>3.9995456181802336</v>
      </c>
      <c r="V81" s="14">
        <f t="shared" ca="1" si="11"/>
        <v>167.92079304165873</v>
      </c>
    </row>
    <row r="82" spans="1:22" x14ac:dyDescent="0.2">
      <c r="A82" s="5">
        <f t="shared" si="6"/>
        <v>75</v>
      </c>
      <c r="B82" s="23"/>
      <c r="C82" s="14">
        <v>167.92079304165873</v>
      </c>
      <c r="D82" s="14">
        <v>0.66524620843337134</v>
      </c>
      <c r="E82" s="14">
        <v>3.3351322646468309</v>
      </c>
      <c r="F82" s="14">
        <v>4.0003784730802021</v>
      </c>
      <c r="G82" s="14">
        <v>164.5856607770119</v>
      </c>
      <c r="H82" s="23"/>
      <c r="I82" s="14">
        <v>167.92079304165873</v>
      </c>
      <c r="J82" s="14">
        <v>0.66524620843337134</v>
      </c>
      <c r="K82" s="14">
        <v>3.3351322646468309</v>
      </c>
      <c r="L82" s="14">
        <v>4.0003784730802021</v>
      </c>
      <c r="M82" s="14">
        <v>164.5856607770119</v>
      </c>
      <c r="N82" s="23"/>
      <c r="O82" s="5">
        <f t="shared" si="7"/>
        <v>75</v>
      </c>
      <c r="P82" s="15">
        <f t="shared" ca="1" si="8"/>
        <v>167.92079304165873</v>
      </c>
      <c r="Q82" s="5">
        <f ca="1">IF(O82&gt;$D$2,0,IF($F$2=Choices!$A$2,IF(O82&gt;$E$2,OFFSET(LiborCurve!$A$1,O82,0)+$C$2,$B$2),$B$2))</f>
        <v>4.7539999999999999E-2</v>
      </c>
      <c r="R82" s="14">
        <f t="shared" ca="1" si="9"/>
        <v>0.66524620843337134</v>
      </c>
      <c r="S82" s="14">
        <f ca="1">IF(O82&gt;$D$2,0,IF($G$2=Choices!$B$1,-PMT(Q82/12,$D$2-(O82-1),P82),0))</f>
        <v>4.0003784730801799</v>
      </c>
      <c r="T82" s="14">
        <f ca="1">IF(AND($G$2=Choices!$B$2,O82=$D$2),P82,IF(AND($G$2=Choices!$B$2,O82&lt;$D$2),0,S82-R82))</f>
        <v>3.3351322646468087</v>
      </c>
      <c r="U82" s="14">
        <f t="shared" ca="1" si="10"/>
        <v>4.0003784730801799</v>
      </c>
      <c r="V82" s="14">
        <f t="shared" ca="1" si="11"/>
        <v>164.58566077701192</v>
      </c>
    </row>
    <row r="83" spans="1:22" x14ac:dyDescent="0.2">
      <c r="A83" s="5">
        <f t="shared" si="6"/>
        <v>76</v>
      </c>
      <c r="B83" s="23"/>
      <c r="C83" s="14">
        <v>164.5856607770119</v>
      </c>
      <c r="D83" s="14">
        <v>0.65326791856742317</v>
      </c>
      <c r="E83" s="14">
        <v>3.3477780123068874</v>
      </c>
      <c r="F83" s="14">
        <v>4.0010459308743105</v>
      </c>
      <c r="G83" s="14">
        <v>161.23788276470501</v>
      </c>
      <c r="H83" s="23"/>
      <c r="I83" s="14">
        <v>164.5856607770119</v>
      </c>
      <c r="J83" s="14">
        <v>0.65326791856742317</v>
      </c>
      <c r="K83" s="14">
        <v>3.3477780123068874</v>
      </c>
      <c r="L83" s="14">
        <v>4.0010459308743105</v>
      </c>
      <c r="M83" s="14">
        <v>161.23788276470501</v>
      </c>
      <c r="N83" s="23"/>
      <c r="O83" s="5">
        <f t="shared" si="7"/>
        <v>76</v>
      </c>
      <c r="P83" s="15">
        <f t="shared" ca="1" si="8"/>
        <v>164.58566077701192</v>
      </c>
      <c r="Q83" s="5">
        <f ca="1">IF(O83&gt;$D$2,0,IF($F$2=Choices!$A$2,IF(O83&gt;$E$2,OFFSET(LiborCurve!$A$1,O83,0)+$C$2,$B$2),$B$2))</f>
        <v>4.7630000000000006E-2</v>
      </c>
      <c r="R83" s="14">
        <f t="shared" ca="1" si="9"/>
        <v>0.65326791856742317</v>
      </c>
      <c r="S83" s="14">
        <f ca="1">IF(O83&gt;$D$2,0,IF($G$2=Choices!$B$1,-PMT(Q83/12,$D$2-(O83-1),P83),0))</f>
        <v>4.0010459308742305</v>
      </c>
      <c r="T83" s="14">
        <f ca="1">IF(AND($G$2=Choices!$B$2,O83=$D$2),P83,IF(AND($G$2=Choices!$B$2,O83&lt;$D$2),0,S83-R83))</f>
        <v>3.3477780123068075</v>
      </c>
      <c r="U83" s="14">
        <f t="shared" ca="1" si="10"/>
        <v>4.0010459308742305</v>
      </c>
      <c r="V83" s="14">
        <f t="shared" ca="1" si="11"/>
        <v>161.23788276470512</v>
      </c>
    </row>
    <row r="84" spans="1:22" x14ac:dyDescent="0.2">
      <c r="A84" s="5">
        <f t="shared" si="6"/>
        <v>77</v>
      </c>
      <c r="B84" s="23"/>
      <c r="C84" s="14">
        <v>161.23788276470501</v>
      </c>
      <c r="D84" s="14">
        <v>0.64118931379431021</v>
      </c>
      <c r="E84" s="14">
        <v>3.36051007482338</v>
      </c>
      <c r="F84" s="14">
        <v>4.0016993886176904</v>
      </c>
      <c r="G84" s="14">
        <v>157.87737268988164</v>
      </c>
      <c r="H84" s="23"/>
      <c r="I84" s="14">
        <v>161.23788276470501</v>
      </c>
      <c r="J84" s="14">
        <v>0.64118931379431021</v>
      </c>
      <c r="K84" s="14">
        <v>3.36051007482338</v>
      </c>
      <c r="L84" s="14">
        <v>4.0016993886176904</v>
      </c>
      <c r="M84" s="14">
        <v>157.87737268988164</v>
      </c>
      <c r="N84" s="23"/>
      <c r="O84" s="5">
        <f t="shared" si="7"/>
        <v>77</v>
      </c>
      <c r="P84" s="15">
        <f t="shared" ca="1" si="8"/>
        <v>161.23788276470512</v>
      </c>
      <c r="Q84" s="5">
        <f ca="1">IF(O84&gt;$D$2,0,IF($F$2=Choices!$A$2,IF(O84&gt;$E$2,OFFSET(LiborCurve!$A$1,O84,0)+$C$2,$B$2),$B$2))</f>
        <v>4.7719999999999999E-2</v>
      </c>
      <c r="R84" s="14">
        <f t="shared" ca="1" si="9"/>
        <v>0.64118931379431066</v>
      </c>
      <c r="S84" s="14">
        <f ca="1">IF(O84&gt;$D$2,0,IF($G$2=Choices!$B$1,-PMT(Q84/12,$D$2-(O84-1),P84),0))</f>
        <v>4.0016993886177605</v>
      </c>
      <c r="T84" s="14">
        <f ca="1">IF(AND($G$2=Choices!$B$2,O84=$D$2),P84,IF(AND($G$2=Choices!$B$2,O84&lt;$D$2),0,S84-R84))</f>
        <v>3.3605100748234498</v>
      </c>
      <c r="U84" s="14">
        <f t="shared" ca="1" si="10"/>
        <v>4.0016993886177605</v>
      </c>
      <c r="V84" s="14">
        <f t="shared" ca="1" si="11"/>
        <v>157.87737268988167</v>
      </c>
    </row>
    <row r="85" spans="1:22" x14ac:dyDescent="0.2">
      <c r="A85" s="5">
        <f t="shared" si="6"/>
        <v>78</v>
      </c>
      <c r="B85" s="23"/>
      <c r="C85" s="14">
        <v>157.87737268988164</v>
      </c>
      <c r="D85" s="14">
        <v>0.62900976569193678</v>
      </c>
      <c r="E85" s="14">
        <v>3.373329057502366</v>
      </c>
      <c r="F85" s="14">
        <v>4.0023388231943029</v>
      </c>
      <c r="G85" s="14">
        <v>154.50404363237928</v>
      </c>
      <c r="H85" s="23"/>
      <c r="I85" s="14">
        <v>157.87737268988164</v>
      </c>
      <c r="J85" s="14">
        <v>0.62900976569193678</v>
      </c>
      <c r="K85" s="14">
        <v>3.373329057502366</v>
      </c>
      <c r="L85" s="14">
        <v>4.0023388231943029</v>
      </c>
      <c r="M85" s="14">
        <v>154.50404363237928</v>
      </c>
      <c r="N85" s="23"/>
      <c r="O85" s="5">
        <f t="shared" si="7"/>
        <v>78</v>
      </c>
      <c r="P85" s="15">
        <f t="shared" ca="1" si="8"/>
        <v>157.87737268988167</v>
      </c>
      <c r="Q85" s="5">
        <f ca="1">IF(O85&gt;$D$2,0,IF($F$2=Choices!$A$2,IF(O85&gt;$E$2,OFFSET(LiborCurve!$A$1,O85,0)+$C$2,$B$2),$B$2))</f>
        <v>4.7810000000000005E-2</v>
      </c>
      <c r="R85" s="14">
        <f t="shared" ca="1" si="9"/>
        <v>0.62900976569193701</v>
      </c>
      <c r="S85" s="14">
        <f ca="1">IF(O85&gt;$D$2,0,IF($G$2=Choices!$B$1,-PMT(Q85/12,$D$2-(O85-1),P85),0))</f>
        <v>4.0023388231943153</v>
      </c>
      <c r="T85" s="14">
        <f ca="1">IF(AND($G$2=Choices!$B$2,O85=$D$2),P85,IF(AND($G$2=Choices!$B$2,O85&lt;$D$2),0,S85-R85))</f>
        <v>3.3733290575023784</v>
      </c>
      <c r="U85" s="14">
        <f t="shared" ca="1" si="10"/>
        <v>4.0023388231943153</v>
      </c>
      <c r="V85" s="14">
        <f t="shared" ca="1" si="11"/>
        <v>154.50404363237928</v>
      </c>
    </row>
    <row r="86" spans="1:22" x14ac:dyDescent="0.2">
      <c r="A86" s="5">
        <f t="shared" si="6"/>
        <v>79</v>
      </c>
      <c r="B86" s="23"/>
      <c r="C86" s="14">
        <v>154.50404363237928</v>
      </c>
      <c r="D86" s="14">
        <v>0.61659988746288696</v>
      </c>
      <c r="E86" s="14">
        <v>3.3862948334812097</v>
      </c>
      <c r="F86" s="14">
        <v>4.0028947209440968</v>
      </c>
      <c r="G86" s="14">
        <v>151.11774879889808</v>
      </c>
      <c r="H86" s="23"/>
      <c r="I86" s="14">
        <v>154.50404363237928</v>
      </c>
      <c r="J86" s="14">
        <v>0.61659988746288696</v>
      </c>
      <c r="K86" s="14">
        <v>3.3862948334812097</v>
      </c>
      <c r="L86" s="14">
        <v>4.0028947209440968</v>
      </c>
      <c r="M86" s="14">
        <v>151.11774879889808</v>
      </c>
      <c r="N86" s="23"/>
      <c r="O86" s="5">
        <f t="shared" si="7"/>
        <v>79</v>
      </c>
      <c r="P86" s="15">
        <f t="shared" ca="1" si="8"/>
        <v>154.50404363237928</v>
      </c>
      <c r="Q86" s="5">
        <f ca="1">IF(O86&gt;$D$2,0,IF($F$2=Choices!$A$2,IF(O86&gt;$E$2,OFFSET(LiborCurve!$A$1,O86,0)+$C$2,$B$2),$B$2))</f>
        <v>4.7890000000000002E-2</v>
      </c>
      <c r="R86" s="14">
        <f t="shared" ca="1" si="9"/>
        <v>0.61659988746288696</v>
      </c>
      <c r="S86" s="14">
        <f ca="1">IF(O86&gt;$D$2,0,IF($G$2=Choices!$B$1,-PMT(Q86/12,$D$2-(O86-1),P86),0))</f>
        <v>4.0028947209441483</v>
      </c>
      <c r="T86" s="14">
        <f ca="1">IF(AND($G$2=Choices!$B$2,O86=$D$2),P86,IF(AND($G$2=Choices!$B$2,O86&lt;$D$2),0,S86-R86))</f>
        <v>3.3862948334812613</v>
      </c>
      <c r="U86" s="14">
        <f t="shared" ca="1" si="10"/>
        <v>4.0028947209441483</v>
      </c>
      <c r="V86" s="14">
        <f t="shared" ca="1" si="11"/>
        <v>151.11774879889802</v>
      </c>
    </row>
    <row r="87" spans="1:22" x14ac:dyDescent="0.2">
      <c r="A87" s="5">
        <f t="shared" si="6"/>
        <v>80</v>
      </c>
      <c r="B87" s="23"/>
      <c r="C87" s="14">
        <v>151.11774879889808</v>
      </c>
      <c r="D87" s="14">
        <v>0.60409320082359508</v>
      </c>
      <c r="E87" s="14">
        <v>3.3993449060382526</v>
      </c>
      <c r="F87" s="14">
        <v>4.0034381068618474</v>
      </c>
      <c r="G87" s="14">
        <v>147.71840389285981</v>
      </c>
      <c r="H87" s="23"/>
      <c r="I87" s="14">
        <v>151.11774879889808</v>
      </c>
      <c r="J87" s="14">
        <v>0.60409320082359508</v>
      </c>
      <c r="K87" s="14">
        <v>3.3993449060382526</v>
      </c>
      <c r="L87" s="14">
        <v>4.0034381068618474</v>
      </c>
      <c r="M87" s="14">
        <v>147.71840389285981</v>
      </c>
      <c r="N87" s="23"/>
      <c r="O87" s="5">
        <f t="shared" si="7"/>
        <v>80</v>
      </c>
      <c r="P87" s="15">
        <f t="shared" ca="1" si="8"/>
        <v>151.11774879889802</v>
      </c>
      <c r="Q87" s="5">
        <f ca="1">IF(O87&gt;$D$2,0,IF($F$2=Choices!$A$2,IF(O87&gt;$E$2,OFFSET(LiborCurve!$A$1,O87,0)+$C$2,$B$2),$B$2))</f>
        <v>4.7969999999999999E-2</v>
      </c>
      <c r="R87" s="14">
        <f t="shared" ca="1" si="9"/>
        <v>0.60409320082359486</v>
      </c>
      <c r="S87" s="14">
        <f ca="1">IF(O87&gt;$D$2,0,IF($G$2=Choices!$B$1,-PMT(Q87/12,$D$2-(O87-1),P87),0))</f>
        <v>4.0034381068619371</v>
      </c>
      <c r="T87" s="14">
        <f ca="1">IF(AND($G$2=Choices!$B$2,O87=$D$2),P87,IF(AND($G$2=Choices!$B$2,O87&lt;$D$2),0,S87-R87))</f>
        <v>3.3993449060383423</v>
      </c>
      <c r="U87" s="14">
        <f t="shared" ca="1" si="10"/>
        <v>4.0034381068619371</v>
      </c>
      <c r="V87" s="14">
        <f t="shared" ca="1" si="11"/>
        <v>147.71840389285967</v>
      </c>
    </row>
    <row r="88" spans="1:22" x14ac:dyDescent="0.2">
      <c r="A88" s="5">
        <f t="shared" si="6"/>
        <v>81</v>
      </c>
      <c r="B88" s="23"/>
      <c r="C88" s="14">
        <v>147.71840389285981</v>
      </c>
      <c r="D88" s="14">
        <v>0.59136601025108215</v>
      </c>
      <c r="E88" s="14">
        <v>3.412536591425313</v>
      </c>
      <c r="F88" s="14">
        <v>4.003902601676395</v>
      </c>
      <c r="G88" s="14">
        <v>144.30586730143449</v>
      </c>
      <c r="H88" s="23"/>
      <c r="I88" s="14">
        <v>147.71840389285981</v>
      </c>
      <c r="J88" s="14">
        <v>0.59136601025108215</v>
      </c>
      <c r="K88" s="14">
        <v>3.412536591425313</v>
      </c>
      <c r="L88" s="14">
        <v>4.003902601676395</v>
      </c>
      <c r="M88" s="14">
        <v>144.30586730143449</v>
      </c>
      <c r="N88" s="23"/>
      <c r="O88" s="5">
        <f t="shared" si="7"/>
        <v>81</v>
      </c>
      <c r="P88" s="15">
        <f t="shared" ca="1" si="8"/>
        <v>147.71840389285967</v>
      </c>
      <c r="Q88" s="5">
        <f ca="1">IF(O88&gt;$D$2,0,IF($F$2=Choices!$A$2,IF(O88&gt;$E$2,OFFSET(LiborCurve!$A$1,O88,0)+$C$2,$B$2),$B$2))</f>
        <v>4.8039999999999999E-2</v>
      </c>
      <c r="R88" s="14">
        <f t="shared" ca="1" si="9"/>
        <v>0.59136601025108149</v>
      </c>
      <c r="S88" s="14">
        <f ca="1">IF(O88&gt;$D$2,0,IF($G$2=Choices!$B$1,-PMT(Q88/12,$D$2-(O88-1),P88),0))</f>
        <v>4.0039026016764137</v>
      </c>
      <c r="T88" s="14">
        <f ca="1">IF(AND($G$2=Choices!$B$2,O88=$D$2),P88,IF(AND($G$2=Choices!$B$2,O88&lt;$D$2),0,S88-R88))</f>
        <v>3.4125365914253321</v>
      </c>
      <c r="U88" s="14">
        <f t="shared" ca="1" si="10"/>
        <v>4.0039026016764137</v>
      </c>
      <c r="V88" s="14">
        <f t="shared" ca="1" si="11"/>
        <v>144.30586730143435</v>
      </c>
    </row>
    <row r="89" spans="1:22" x14ac:dyDescent="0.2">
      <c r="A89" s="5">
        <f t="shared" si="6"/>
        <v>82</v>
      </c>
      <c r="B89" s="23"/>
      <c r="C89" s="14">
        <v>144.30586730143449</v>
      </c>
      <c r="D89" s="14">
        <v>0.57854627298933448</v>
      </c>
      <c r="E89" s="14">
        <v>3.4258098358042552</v>
      </c>
      <c r="F89" s="14">
        <v>4.0043561087935897</v>
      </c>
      <c r="G89" s="14">
        <v>140.88005746563024</v>
      </c>
      <c r="H89" s="23"/>
      <c r="I89" s="14">
        <v>144.30586730143449</v>
      </c>
      <c r="J89" s="14">
        <v>0.57854627298933448</v>
      </c>
      <c r="K89" s="14">
        <v>3.4258098358042552</v>
      </c>
      <c r="L89" s="14">
        <v>4.0043561087935897</v>
      </c>
      <c r="M89" s="14">
        <v>140.88005746563024</v>
      </c>
      <c r="N89" s="23"/>
      <c r="O89" s="5">
        <f t="shared" si="7"/>
        <v>82</v>
      </c>
      <c r="P89" s="15">
        <f t="shared" ca="1" si="8"/>
        <v>144.30586730143435</v>
      </c>
      <c r="Q89" s="5">
        <f ca="1">IF(O89&gt;$D$2,0,IF($F$2=Choices!$A$2,IF(O89&gt;$E$2,OFFSET(LiborCurve!$A$1,O89,0)+$C$2,$B$2),$B$2))</f>
        <v>4.811E-2</v>
      </c>
      <c r="R89" s="14">
        <f t="shared" ca="1" si="9"/>
        <v>0.57854627298933392</v>
      </c>
      <c r="S89" s="14">
        <f ca="1">IF(O89&gt;$D$2,0,IF($G$2=Choices!$B$1,-PMT(Q89/12,$D$2-(O89-1),P89),0))</f>
        <v>4.0043561087935435</v>
      </c>
      <c r="T89" s="14">
        <f ca="1">IF(AND($G$2=Choices!$B$2,O89=$D$2),P89,IF(AND($G$2=Choices!$B$2,O89&lt;$D$2),0,S89-R89))</f>
        <v>3.4258098358042095</v>
      </c>
      <c r="U89" s="14">
        <f t="shared" ca="1" si="10"/>
        <v>4.0043561087935435</v>
      </c>
      <c r="V89" s="14">
        <f t="shared" ca="1" si="11"/>
        <v>140.88005746563013</v>
      </c>
    </row>
    <row r="90" spans="1:22" x14ac:dyDescent="0.2">
      <c r="A90" s="5">
        <f t="shared" si="6"/>
        <v>83</v>
      </c>
      <c r="B90" s="23"/>
      <c r="C90" s="14">
        <v>140.88005746563024</v>
      </c>
      <c r="D90" s="14">
        <v>0.56551603067661749</v>
      </c>
      <c r="E90" s="14">
        <v>3.4392193637789923</v>
      </c>
      <c r="F90" s="14">
        <v>4.0047353944556097</v>
      </c>
      <c r="G90" s="14">
        <v>137.44083810185126</v>
      </c>
      <c r="H90" s="23"/>
      <c r="I90" s="14">
        <v>140.88005746563024</v>
      </c>
      <c r="J90" s="14">
        <v>0.56551603067661749</v>
      </c>
      <c r="K90" s="14">
        <v>3.4392193637789923</v>
      </c>
      <c r="L90" s="14">
        <v>4.0047353944556097</v>
      </c>
      <c r="M90" s="14">
        <v>137.44083810185126</v>
      </c>
      <c r="N90" s="23"/>
      <c r="O90" s="5">
        <f t="shared" si="7"/>
        <v>83</v>
      </c>
      <c r="P90" s="15">
        <f t="shared" ca="1" si="8"/>
        <v>140.88005746563013</v>
      </c>
      <c r="Q90" s="5">
        <f ca="1">IF(O90&gt;$D$2,0,IF($F$2=Choices!$A$2,IF(O90&gt;$E$2,OFFSET(LiborCurve!$A$1,O90,0)+$C$2,$B$2),$B$2))</f>
        <v>4.8170000000000004E-2</v>
      </c>
      <c r="R90" s="14">
        <f t="shared" ca="1" si="9"/>
        <v>0.56551603067661704</v>
      </c>
      <c r="S90" s="14">
        <f ca="1">IF(O90&gt;$D$2,0,IF($G$2=Choices!$B$1,-PMT(Q90/12,$D$2-(O90-1),P90),0))</f>
        <v>4.0047353944555955</v>
      </c>
      <c r="T90" s="14">
        <f ca="1">IF(AND($G$2=Choices!$B$2,O90=$D$2),P90,IF(AND($G$2=Choices!$B$2,O90&lt;$D$2),0,S90-R90))</f>
        <v>3.4392193637789785</v>
      </c>
      <c r="U90" s="14">
        <f t="shared" ca="1" si="10"/>
        <v>4.0047353944555955</v>
      </c>
      <c r="V90" s="14">
        <f t="shared" ca="1" si="11"/>
        <v>137.44083810185114</v>
      </c>
    </row>
    <row r="91" spans="1:22" x14ac:dyDescent="0.2">
      <c r="A91" s="5">
        <f t="shared" si="6"/>
        <v>84</v>
      </c>
      <c r="B91" s="23"/>
      <c r="C91" s="14">
        <v>137.44083810185126</v>
      </c>
      <c r="D91" s="14">
        <v>0.55239763513769047</v>
      </c>
      <c r="E91" s="14">
        <v>3.4527075937023191</v>
      </c>
      <c r="F91" s="14">
        <v>4.0051052288400095</v>
      </c>
      <c r="G91" s="14">
        <v>133.98813050814894</v>
      </c>
      <c r="H91" s="23"/>
      <c r="I91" s="14">
        <v>137.44083810185126</v>
      </c>
      <c r="J91" s="14">
        <v>0.55239763513769047</v>
      </c>
      <c r="K91" s="14">
        <v>3.4527075937023191</v>
      </c>
      <c r="L91" s="14">
        <v>4.0051052288400095</v>
      </c>
      <c r="M91" s="14">
        <v>133.98813050814894</v>
      </c>
      <c r="N91" s="23"/>
      <c r="O91" s="5">
        <f t="shared" si="7"/>
        <v>84</v>
      </c>
      <c r="P91" s="15">
        <f t="shared" ca="1" si="8"/>
        <v>137.44083810185114</v>
      </c>
      <c r="Q91" s="5">
        <f ca="1">IF(O91&gt;$D$2,0,IF($F$2=Choices!$A$2,IF(O91&gt;$E$2,OFFSET(LiborCurve!$A$1,O91,0)+$C$2,$B$2),$B$2))</f>
        <v>4.8229999999999995E-2</v>
      </c>
      <c r="R91" s="14">
        <f t="shared" ca="1" si="9"/>
        <v>0.55239763513769002</v>
      </c>
      <c r="S91" s="14">
        <f ca="1">IF(O91&gt;$D$2,0,IF($G$2=Choices!$B$1,-PMT(Q91/12,$D$2-(O91-1),P91),0))</f>
        <v>4.0051052288400246</v>
      </c>
      <c r="T91" s="14">
        <f ca="1">IF(AND($G$2=Choices!$B$2,O91=$D$2),P91,IF(AND($G$2=Choices!$B$2,O91&lt;$D$2),0,S91-R91))</f>
        <v>3.4527075937023346</v>
      </c>
      <c r="U91" s="14">
        <f t="shared" ca="1" si="10"/>
        <v>4.0051052288400246</v>
      </c>
      <c r="V91" s="14">
        <f t="shared" ca="1" si="11"/>
        <v>133.9881305081488</v>
      </c>
    </row>
    <row r="92" spans="1:22" x14ac:dyDescent="0.2">
      <c r="A92" s="5">
        <f t="shared" si="6"/>
        <v>85</v>
      </c>
      <c r="B92" s="23"/>
      <c r="C92" s="14">
        <v>133.98813050814894</v>
      </c>
      <c r="D92" s="14">
        <v>0.53907891174445266</v>
      </c>
      <c r="E92" s="14">
        <v>3.4663266227967635</v>
      </c>
      <c r="F92" s="14">
        <v>4.0054055345412163</v>
      </c>
      <c r="G92" s="14">
        <v>130.52180388535217</v>
      </c>
      <c r="H92" s="23"/>
      <c r="I92" s="14">
        <v>133.98813050814894</v>
      </c>
      <c r="J92" s="14">
        <v>0.53907891174445266</v>
      </c>
      <c r="K92" s="14">
        <v>3.4663266227967635</v>
      </c>
      <c r="L92" s="14">
        <v>4.0054055345412163</v>
      </c>
      <c r="M92" s="14">
        <v>130.52180388535217</v>
      </c>
      <c r="N92" s="23"/>
      <c r="O92" s="5">
        <f t="shared" si="7"/>
        <v>85</v>
      </c>
      <c r="P92" s="15">
        <f t="shared" ca="1" si="8"/>
        <v>133.9881305081488</v>
      </c>
      <c r="Q92" s="5">
        <f ca="1">IF(O92&gt;$D$2,0,IF($F$2=Choices!$A$2,IF(O92&gt;$E$2,OFFSET(LiborCurve!$A$1,O92,0)+$C$2,$B$2),$B$2))</f>
        <v>4.8280000000000003E-2</v>
      </c>
      <c r="R92" s="14">
        <f t="shared" ca="1" si="9"/>
        <v>0.53907891174445199</v>
      </c>
      <c r="S92" s="14">
        <f ca="1">IF(O92&gt;$D$2,0,IF($G$2=Choices!$B$1,-PMT(Q92/12,$D$2-(O92-1),P92),0))</f>
        <v>4.0054055345411497</v>
      </c>
      <c r="T92" s="14">
        <f ca="1">IF(AND($G$2=Choices!$B$2,O92=$D$2),P92,IF(AND($G$2=Choices!$B$2,O92&lt;$D$2),0,S92-R92))</f>
        <v>3.4663266227966978</v>
      </c>
      <c r="U92" s="14">
        <f t="shared" ca="1" si="10"/>
        <v>4.0054055345411497</v>
      </c>
      <c r="V92" s="14">
        <f t="shared" ca="1" si="11"/>
        <v>130.52180388535211</v>
      </c>
    </row>
    <row r="93" spans="1:22" x14ac:dyDescent="0.2">
      <c r="A93" s="5">
        <f t="shared" si="6"/>
        <v>86</v>
      </c>
      <c r="B93" s="23"/>
      <c r="C93" s="14">
        <v>130.52180388535217</v>
      </c>
      <c r="D93" s="14">
        <v>0.52556779697835143</v>
      </c>
      <c r="E93" s="14">
        <v>3.4800716586276064</v>
      </c>
      <c r="F93" s="14">
        <v>4.0056394556059578</v>
      </c>
      <c r="G93" s="14">
        <v>127.04173222672456</v>
      </c>
      <c r="H93" s="23"/>
      <c r="I93" s="14">
        <v>130.52180388535217</v>
      </c>
      <c r="J93" s="14">
        <v>0.52556779697835143</v>
      </c>
      <c r="K93" s="14">
        <v>3.4800716586276064</v>
      </c>
      <c r="L93" s="14">
        <v>4.0056394556059578</v>
      </c>
      <c r="M93" s="14">
        <v>127.04173222672456</v>
      </c>
      <c r="N93" s="23"/>
      <c r="O93" s="5">
        <f t="shared" si="7"/>
        <v>86</v>
      </c>
      <c r="P93" s="15">
        <f t="shared" ca="1" si="8"/>
        <v>130.52180388535211</v>
      </c>
      <c r="Q93" s="5">
        <f ca="1">IF(O93&gt;$D$2,0,IF($F$2=Choices!$A$2,IF(O93&gt;$E$2,OFFSET(LiborCurve!$A$1,O93,0)+$C$2,$B$2),$B$2))</f>
        <v>4.8320000000000002E-2</v>
      </c>
      <c r="R93" s="14">
        <f t="shared" ca="1" si="9"/>
        <v>0.52556779697835121</v>
      </c>
      <c r="S93" s="14">
        <f ca="1">IF(O93&gt;$D$2,0,IF($G$2=Choices!$B$1,-PMT(Q93/12,$D$2-(O93-1),P93),0))</f>
        <v>4.0056394556059152</v>
      </c>
      <c r="T93" s="14">
        <f ca="1">IF(AND($G$2=Choices!$B$2,O93=$D$2),P93,IF(AND($G$2=Choices!$B$2,O93&lt;$D$2),0,S93-R93))</f>
        <v>3.4800716586275637</v>
      </c>
      <c r="U93" s="14">
        <f t="shared" ca="1" si="10"/>
        <v>4.0056394556059152</v>
      </c>
      <c r="V93" s="14">
        <f t="shared" ca="1" si="11"/>
        <v>127.04173222672455</v>
      </c>
    </row>
    <row r="94" spans="1:22" x14ac:dyDescent="0.2">
      <c r="A94" s="5">
        <f t="shared" si="6"/>
        <v>87</v>
      </c>
      <c r="B94" s="23"/>
      <c r="C94" s="14">
        <v>127.04173222672456</v>
      </c>
      <c r="D94" s="14">
        <v>0.51229578520426677</v>
      </c>
      <c r="E94" s="14">
        <v>3.4937419528939726</v>
      </c>
      <c r="F94" s="14">
        <v>4.0060377380982395</v>
      </c>
      <c r="G94" s="14">
        <v>123.54799027383059</v>
      </c>
      <c r="H94" s="23"/>
      <c r="I94" s="14">
        <v>127.04173222672456</v>
      </c>
      <c r="J94" s="14">
        <v>0.51229578520426677</v>
      </c>
      <c r="K94" s="14">
        <v>3.4937419528939726</v>
      </c>
      <c r="L94" s="14">
        <v>4.0060377380982395</v>
      </c>
      <c r="M94" s="14">
        <v>123.54799027383059</v>
      </c>
      <c r="N94" s="23"/>
      <c r="O94" s="5">
        <f t="shared" si="7"/>
        <v>87</v>
      </c>
      <c r="P94" s="15">
        <f t="shared" ca="1" si="8"/>
        <v>127.04173222672455</v>
      </c>
      <c r="Q94" s="5">
        <f ca="1">IF(O94&gt;$D$2,0,IF($F$2=Choices!$A$2,IF(O94&gt;$E$2,OFFSET(LiborCurve!$A$1,O94,0)+$C$2,$B$2),$B$2))</f>
        <v>4.8390000000000002E-2</v>
      </c>
      <c r="R94" s="14">
        <f t="shared" ca="1" si="9"/>
        <v>0.51229578520426677</v>
      </c>
      <c r="S94" s="14">
        <f ca="1">IF(O94&gt;$D$2,0,IF($G$2=Choices!$B$1,-PMT(Q94/12,$D$2-(O94-1),P94),0))</f>
        <v>4.0060377380983354</v>
      </c>
      <c r="T94" s="14">
        <f ca="1">IF(AND($G$2=Choices!$B$2,O94=$D$2),P94,IF(AND($G$2=Choices!$B$2,O94&lt;$D$2),0,S94-R94))</f>
        <v>3.4937419528940685</v>
      </c>
      <c r="U94" s="14">
        <f t="shared" ca="1" si="10"/>
        <v>4.0060377380983354</v>
      </c>
      <c r="V94" s="14">
        <f t="shared" ca="1" si="11"/>
        <v>123.54799027383048</v>
      </c>
    </row>
    <row r="95" spans="1:22" x14ac:dyDescent="0.2">
      <c r="A95" s="5">
        <f t="shared" si="6"/>
        <v>88</v>
      </c>
      <c r="B95" s="23"/>
      <c r="C95" s="14">
        <v>123.54799027383059</v>
      </c>
      <c r="D95" s="14">
        <v>0.49903092404771404</v>
      </c>
      <c r="E95" s="14">
        <v>3.507449320378992</v>
      </c>
      <c r="F95" s="14">
        <v>4.0064802444267062</v>
      </c>
      <c r="G95" s="14">
        <v>120.0405409534516</v>
      </c>
      <c r="H95" s="23"/>
      <c r="I95" s="14">
        <v>123.54799027383059</v>
      </c>
      <c r="J95" s="14">
        <v>0.49903092404771404</v>
      </c>
      <c r="K95" s="14">
        <v>3.507449320378992</v>
      </c>
      <c r="L95" s="14">
        <v>4.0064802444267062</v>
      </c>
      <c r="M95" s="14">
        <v>120.0405409534516</v>
      </c>
      <c r="N95" s="23"/>
      <c r="O95" s="5">
        <f t="shared" si="7"/>
        <v>88</v>
      </c>
      <c r="P95" s="15">
        <f t="shared" ca="1" si="8"/>
        <v>123.54799027383048</v>
      </c>
      <c r="Q95" s="5">
        <f ca="1">IF(O95&gt;$D$2,0,IF($F$2=Choices!$A$2,IF(O95&gt;$E$2,OFFSET(LiborCurve!$A$1,O95,0)+$C$2,$B$2),$B$2))</f>
        <v>4.8469999999999999E-2</v>
      </c>
      <c r="R95" s="14">
        <f t="shared" ca="1" si="9"/>
        <v>0.4990309240477136</v>
      </c>
      <c r="S95" s="14">
        <f ca="1">IF(O95&gt;$D$2,0,IF($G$2=Choices!$B$1,-PMT(Q95/12,$D$2-(O95-1),P95),0))</f>
        <v>4.006480244426637</v>
      </c>
      <c r="T95" s="14">
        <f ca="1">IF(AND($G$2=Choices!$B$2,O95=$D$2),P95,IF(AND($G$2=Choices!$B$2,O95&lt;$D$2),0,S95-R95))</f>
        <v>3.5074493203789232</v>
      </c>
      <c r="U95" s="14">
        <f t="shared" ca="1" si="10"/>
        <v>4.006480244426637</v>
      </c>
      <c r="V95" s="14">
        <f t="shared" ca="1" si="11"/>
        <v>120.04054095345155</v>
      </c>
    </row>
    <row r="96" spans="1:22" x14ac:dyDescent="0.2">
      <c r="A96" s="5">
        <f t="shared" si="6"/>
        <v>89</v>
      </c>
      <c r="B96" s="23"/>
      <c r="C96" s="14">
        <v>120.0405409534516</v>
      </c>
      <c r="D96" s="14">
        <v>0.48596412329322319</v>
      </c>
      <c r="E96" s="14">
        <v>3.5211071236427283</v>
      </c>
      <c r="F96" s="14">
        <v>4.0070712469359515</v>
      </c>
      <c r="G96" s="14">
        <v>116.51943382980888</v>
      </c>
      <c r="H96" s="23"/>
      <c r="I96" s="14">
        <v>120.0405409534516</v>
      </c>
      <c r="J96" s="14">
        <v>0.48596412329322319</v>
      </c>
      <c r="K96" s="14">
        <v>3.5211071236427283</v>
      </c>
      <c r="L96" s="14">
        <v>4.0070712469359515</v>
      </c>
      <c r="M96" s="14">
        <v>116.51943382980888</v>
      </c>
      <c r="N96" s="23"/>
      <c r="O96" s="5">
        <f t="shared" si="7"/>
        <v>89</v>
      </c>
      <c r="P96" s="15">
        <f t="shared" ca="1" si="8"/>
        <v>120.04054095345155</v>
      </c>
      <c r="Q96" s="5">
        <f ca="1">IF(O96&gt;$D$2,0,IF($F$2=Choices!$A$2,IF(O96&gt;$E$2,OFFSET(LiborCurve!$A$1,O96,0)+$C$2,$B$2),$B$2))</f>
        <v>4.8579999999999998E-2</v>
      </c>
      <c r="R96" s="14">
        <f t="shared" ca="1" si="9"/>
        <v>0.48596412329322303</v>
      </c>
      <c r="S96" s="14">
        <f ca="1">IF(O96&gt;$D$2,0,IF($G$2=Choices!$B$1,-PMT(Q96/12,$D$2-(O96-1),P96),0))</f>
        <v>4.0070712469360394</v>
      </c>
      <c r="T96" s="14">
        <f ca="1">IF(AND($G$2=Choices!$B$2,O96=$D$2),P96,IF(AND($G$2=Choices!$B$2,O96&lt;$D$2),0,S96-R96))</f>
        <v>3.5211071236428166</v>
      </c>
      <c r="U96" s="14">
        <f t="shared" ca="1" si="10"/>
        <v>4.0070712469360394</v>
      </c>
      <c r="V96" s="14">
        <f t="shared" ca="1" si="11"/>
        <v>116.51943382980873</v>
      </c>
    </row>
    <row r="97" spans="1:22" x14ac:dyDescent="0.2">
      <c r="A97" s="5">
        <f t="shared" si="6"/>
        <v>90</v>
      </c>
      <c r="B97" s="23"/>
      <c r="C97" s="14">
        <v>116.51943382980888</v>
      </c>
      <c r="D97" s="14">
        <v>0.47287470229264111</v>
      </c>
      <c r="E97" s="14">
        <v>3.5348222250599353</v>
      </c>
      <c r="F97" s="14">
        <v>4.0076969273525762</v>
      </c>
      <c r="G97" s="14">
        <v>112.98461160474893</v>
      </c>
      <c r="H97" s="23"/>
      <c r="I97" s="14">
        <v>116.51943382980888</v>
      </c>
      <c r="J97" s="14">
        <v>0.47287470229264111</v>
      </c>
      <c r="K97" s="14">
        <v>3.5348222250599353</v>
      </c>
      <c r="L97" s="14">
        <v>4.0076969273525762</v>
      </c>
      <c r="M97" s="14">
        <v>112.98461160474893</v>
      </c>
      <c r="N97" s="23"/>
      <c r="O97" s="5">
        <f t="shared" si="7"/>
        <v>90</v>
      </c>
      <c r="P97" s="15">
        <f t="shared" ca="1" si="8"/>
        <v>116.51943382980873</v>
      </c>
      <c r="Q97" s="5">
        <f ca="1">IF(O97&gt;$D$2,0,IF($F$2=Choices!$A$2,IF(O97&gt;$E$2,OFFSET(LiborCurve!$A$1,O97,0)+$C$2,$B$2),$B$2))</f>
        <v>4.8700000000000007E-2</v>
      </c>
      <c r="R97" s="14">
        <f t="shared" ca="1" si="9"/>
        <v>0.4728747022926405</v>
      </c>
      <c r="S97" s="14">
        <f ca="1">IF(O97&gt;$D$2,0,IF($G$2=Choices!$B$1,-PMT(Q97/12,$D$2-(O97-1),P97),0))</f>
        <v>4.007696927352514</v>
      </c>
      <c r="T97" s="14">
        <f ca="1">IF(AND($G$2=Choices!$B$2,O97=$D$2),P97,IF(AND($G$2=Choices!$B$2,O97&lt;$D$2),0,S97-R97))</f>
        <v>3.5348222250598735</v>
      </c>
      <c r="U97" s="14">
        <f t="shared" ca="1" si="10"/>
        <v>4.007696927352514</v>
      </c>
      <c r="V97" s="14">
        <f t="shared" ca="1" si="11"/>
        <v>112.98461160474886</v>
      </c>
    </row>
    <row r="98" spans="1:22" x14ac:dyDescent="0.2">
      <c r="A98" s="5">
        <f t="shared" si="6"/>
        <v>91</v>
      </c>
      <c r="B98" s="23"/>
      <c r="C98" s="14">
        <v>112.98461160474893</v>
      </c>
      <c r="D98" s="14">
        <v>0.45994152307433217</v>
      </c>
      <c r="E98" s="14">
        <v>3.54851366568532</v>
      </c>
      <c r="F98" s="14">
        <v>4.008455188759652</v>
      </c>
      <c r="G98" s="14">
        <v>109.43609793906361</v>
      </c>
      <c r="H98" s="23"/>
      <c r="I98" s="14">
        <v>112.98461160474893</v>
      </c>
      <c r="J98" s="14">
        <v>0.45994152307433217</v>
      </c>
      <c r="K98" s="14">
        <v>3.54851366568532</v>
      </c>
      <c r="L98" s="14">
        <v>4.008455188759652</v>
      </c>
      <c r="M98" s="14">
        <v>109.43609793906361</v>
      </c>
      <c r="N98" s="23"/>
      <c r="O98" s="5">
        <f t="shared" si="7"/>
        <v>91</v>
      </c>
      <c r="P98" s="15">
        <f t="shared" ca="1" si="8"/>
        <v>112.98461160474886</v>
      </c>
      <c r="Q98" s="5">
        <f ca="1">IF(O98&gt;$D$2,0,IF($F$2=Choices!$A$2,IF(O98&gt;$E$2,OFFSET(LiborCurve!$A$1,O98,0)+$C$2,$B$2),$B$2))</f>
        <v>4.8850000000000005E-2</v>
      </c>
      <c r="R98" s="14">
        <f t="shared" ca="1" si="9"/>
        <v>0.45994152307433184</v>
      </c>
      <c r="S98" s="14">
        <f ca="1">IF(O98&gt;$D$2,0,IF($G$2=Choices!$B$1,-PMT(Q98/12,$D$2-(O98-1),P98),0))</f>
        <v>4.0084551887595659</v>
      </c>
      <c r="T98" s="14">
        <f ca="1">IF(AND($G$2=Choices!$B$2,O98=$D$2),P98,IF(AND($G$2=Choices!$B$2,O98&lt;$D$2),0,S98-R98))</f>
        <v>3.5485136656852339</v>
      </c>
      <c r="U98" s="14">
        <f t="shared" ca="1" si="10"/>
        <v>4.0084551887595659</v>
      </c>
      <c r="V98" s="14">
        <f t="shared" ca="1" si="11"/>
        <v>109.43609793906363</v>
      </c>
    </row>
    <row r="99" spans="1:22" x14ac:dyDescent="0.2">
      <c r="A99" s="5">
        <f t="shared" si="6"/>
        <v>92</v>
      </c>
      <c r="B99" s="23"/>
      <c r="C99" s="14">
        <v>109.43609793906361</v>
      </c>
      <c r="D99" s="14">
        <v>0.44695526333279229</v>
      </c>
      <c r="E99" s="14">
        <v>3.5622832788951171</v>
      </c>
      <c r="F99" s="14">
        <v>4.0092385422279095</v>
      </c>
      <c r="G99" s="14">
        <v>105.87381466016849</v>
      </c>
      <c r="H99" s="23"/>
      <c r="I99" s="14">
        <v>109.43609793906361</v>
      </c>
      <c r="J99" s="14">
        <v>0.44695526333279229</v>
      </c>
      <c r="K99" s="14">
        <v>3.5622832788951171</v>
      </c>
      <c r="L99" s="14">
        <v>4.0092385422279095</v>
      </c>
      <c r="M99" s="14">
        <v>105.87381466016849</v>
      </c>
      <c r="N99" s="23"/>
      <c r="O99" s="5">
        <f t="shared" si="7"/>
        <v>92</v>
      </c>
      <c r="P99" s="15">
        <f t="shared" ca="1" si="8"/>
        <v>109.43609793906363</v>
      </c>
      <c r="Q99" s="5">
        <f ca="1">IF(O99&gt;$D$2,0,IF($F$2=Choices!$A$2,IF(O99&gt;$E$2,OFFSET(LiborCurve!$A$1,O99,0)+$C$2,$B$2),$B$2))</f>
        <v>4.9009999999999998E-2</v>
      </c>
      <c r="R99" s="14">
        <f t="shared" ca="1" si="9"/>
        <v>0.4469552633327924</v>
      </c>
      <c r="S99" s="14">
        <f ca="1">IF(O99&gt;$D$2,0,IF($G$2=Choices!$B$1,-PMT(Q99/12,$D$2-(O99-1),P99),0))</f>
        <v>4.0092385422279113</v>
      </c>
      <c r="T99" s="14">
        <f ca="1">IF(AND($G$2=Choices!$B$2,O99=$D$2),P99,IF(AND($G$2=Choices!$B$2,O99&lt;$D$2),0,S99-R99))</f>
        <v>3.5622832788951189</v>
      </c>
      <c r="U99" s="14">
        <f t="shared" ca="1" si="10"/>
        <v>4.0092385422279113</v>
      </c>
      <c r="V99" s="14">
        <f t="shared" ca="1" si="11"/>
        <v>105.87381466016851</v>
      </c>
    </row>
    <row r="100" spans="1:22" x14ac:dyDescent="0.2">
      <c r="A100" s="5">
        <f t="shared" si="6"/>
        <v>93</v>
      </c>
      <c r="B100" s="23"/>
      <c r="C100" s="14">
        <v>105.87381466016849</v>
      </c>
      <c r="D100" s="14">
        <v>0.43408264010669079</v>
      </c>
      <c r="E100" s="14">
        <v>3.5760558638411646</v>
      </c>
      <c r="F100" s="14">
        <v>4.0101385039478554</v>
      </c>
      <c r="G100" s="14">
        <v>102.29775879632733</v>
      </c>
      <c r="H100" s="23"/>
      <c r="I100" s="14">
        <v>105.87381466016849</v>
      </c>
      <c r="J100" s="14">
        <v>0.43408264010669079</v>
      </c>
      <c r="K100" s="14">
        <v>3.5760558638411646</v>
      </c>
      <c r="L100" s="14">
        <v>4.0101385039478554</v>
      </c>
      <c r="M100" s="14">
        <v>102.29775879632733</v>
      </c>
      <c r="N100" s="23"/>
      <c r="O100" s="5">
        <f t="shared" si="7"/>
        <v>93</v>
      </c>
      <c r="P100" s="15">
        <f t="shared" ca="1" si="8"/>
        <v>105.87381466016851</v>
      </c>
      <c r="Q100" s="5">
        <f ca="1">IF(O100&gt;$D$2,0,IF($F$2=Choices!$A$2,IF(O100&gt;$E$2,OFFSET(LiborCurve!$A$1,O100,0)+$C$2,$B$2),$B$2))</f>
        <v>4.9199999999999994E-2</v>
      </c>
      <c r="R100" s="14">
        <f t="shared" ca="1" si="9"/>
        <v>0.43408264010669084</v>
      </c>
      <c r="S100" s="14">
        <f ca="1">IF(O100&gt;$D$2,0,IF($G$2=Choices!$B$1,-PMT(Q100/12,$D$2-(O100-1),P100),0))</f>
        <v>4.0101385039478536</v>
      </c>
      <c r="T100" s="14">
        <f ca="1">IF(AND($G$2=Choices!$B$2,O100=$D$2),P100,IF(AND($G$2=Choices!$B$2,O100&lt;$D$2),0,S100-R100))</f>
        <v>3.5760558638411628</v>
      </c>
      <c r="U100" s="14">
        <f t="shared" ca="1" si="10"/>
        <v>4.0101385039478536</v>
      </c>
      <c r="V100" s="14">
        <f t="shared" ca="1" si="11"/>
        <v>102.29775879632734</v>
      </c>
    </row>
    <row r="101" spans="1:22" x14ac:dyDescent="0.2">
      <c r="A101" s="5">
        <f t="shared" si="6"/>
        <v>94</v>
      </c>
      <c r="B101" s="23"/>
      <c r="C101" s="14">
        <v>102.29775879632733</v>
      </c>
      <c r="D101" s="14">
        <v>0.42112577371154747</v>
      </c>
      <c r="E101" s="14">
        <v>3.589928152740808</v>
      </c>
      <c r="F101" s="14">
        <v>4.0110539264523553</v>
      </c>
      <c r="G101" s="14">
        <v>98.707830643586519</v>
      </c>
      <c r="H101" s="23"/>
      <c r="I101" s="14">
        <v>102.29775879632733</v>
      </c>
      <c r="J101" s="14">
        <v>0.42112577371154747</v>
      </c>
      <c r="K101" s="14">
        <v>3.589928152740808</v>
      </c>
      <c r="L101" s="14">
        <v>4.0110539264523553</v>
      </c>
      <c r="M101" s="14">
        <v>98.707830643586519</v>
      </c>
      <c r="N101" s="23"/>
      <c r="O101" s="5">
        <f t="shared" si="7"/>
        <v>94</v>
      </c>
      <c r="P101" s="15">
        <f t="shared" ca="1" si="8"/>
        <v>102.29775879632734</v>
      </c>
      <c r="Q101" s="5">
        <f ca="1">IF(O101&gt;$D$2,0,IF($F$2=Choices!$A$2,IF(O101&gt;$E$2,OFFSET(LiborCurve!$A$1,O101,0)+$C$2,$B$2),$B$2))</f>
        <v>4.9399999999999999E-2</v>
      </c>
      <c r="R101" s="14">
        <f t="shared" ca="1" si="9"/>
        <v>0.42112577371154752</v>
      </c>
      <c r="S101" s="14">
        <f ca="1">IF(O101&gt;$D$2,0,IF($G$2=Choices!$B$1,-PMT(Q101/12,$D$2-(O101-1),P101),0))</f>
        <v>4.0110539264524512</v>
      </c>
      <c r="T101" s="14">
        <f ca="1">IF(AND($G$2=Choices!$B$2,O101=$D$2),P101,IF(AND($G$2=Choices!$B$2,O101&lt;$D$2),0,S101-R101))</f>
        <v>3.5899281527409035</v>
      </c>
      <c r="U101" s="14">
        <f t="shared" ca="1" si="10"/>
        <v>4.0110539264524512</v>
      </c>
      <c r="V101" s="14">
        <f t="shared" ca="1" si="11"/>
        <v>98.707830643586433</v>
      </c>
    </row>
    <row r="102" spans="1:22" x14ac:dyDescent="0.2">
      <c r="A102" s="5">
        <f t="shared" si="6"/>
        <v>95</v>
      </c>
      <c r="B102" s="23"/>
      <c r="C102" s="14">
        <v>98.707830643586519</v>
      </c>
      <c r="D102" s="14">
        <v>0.40815687971123027</v>
      </c>
      <c r="E102" s="14">
        <v>3.6038688635008711</v>
      </c>
      <c r="F102" s="14">
        <v>4.0120257432121011</v>
      </c>
      <c r="G102" s="14">
        <v>95.103961780085655</v>
      </c>
      <c r="H102" s="23"/>
      <c r="I102" s="14">
        <v>98.707830643586519</v>
      </c>
      <c r="J102" s="14">
        <v>0.40815687971123027</v>
      </c>
      <c r="K102" s="14">
        <v>3.6038688635008711</v>
      </c>
      <c r="L102" s="14">
        <v>4.0120257432121011</v>
      </c>
      <c r="M102" s="14">
        <v>95.103961780085655</v>
      </c>
      <c r="N102" s="23"/>
      <c r="O102" s="5">
        <f t="shared" si="7"/>
        <v>95</v>
      </c>
      <c r="P102" s="15">
        <f t="shared" ca="1" si="8"/>
        <v>98.707830643586433</v>
      </c>
      <c r="Q102" s="5">
        <f ca="1">IF(O102&gt;$D$2,0,IF($F$2=Choices!$A$2,IF(O102&gt;$E$2,OFFSET(LiborCurve!$A$1,O102,0)+$C$2,$B$2),$B$2))</f>
        <v>4.9620000000000004E-2</v>
      </c>
      <c r="R102" s="14">
        <f t="shared" ca="1" si="9"/>
        <v>0.40815687971122999</v>
      </c>
      <c r="S102" s="14">
        <f ca="1">IF(O102&gt;$D$2,0,IF($G$2=Choices!$B$1,-PMT(Q102/12,$D$2-(O102-1),P102),0))</f>
        <v>4.0120257432120994</v>
      </c>
      <c r="T102" s="14">
        <f ca="1">IF(AND($G$2=Choices!$B$2,O102=$D$2),P102,IF(AND($G$2=Choices!$B$2,O102&lt;$D$2),0,S102-R102))</f>
        <v>3.6038688635008693</v>
      </c>
      <c r="U102" s="14">
        <f t="shared" ca="1" si="10"/>
        <v>4.0120257432120994</v>
      </c>
      <c r="V102" s="14">
        <f t="shared" ca="1" si="11"/>
        <v>95.103961780085569</v>
      </c>
    </row>
    <row r="103" spans="1:22" x14ac:dyDescent="0.2">
      <c r="A103" s="5">
        <f t="shared" si="6"/>
        <v>96</v>
      </c>
      <c r="B103" s="23"/>
      <c r="C103" s="14">
        <v>95.103961780085655</v>
      </c>
      <c r="D103" s="14">
        <v>0.39523621449773932</v>
      </c>
      <c r="E103" s="14">
        <v>3.6178538715877657</v>
      </c>
      <c r="F103" s="14">
        <v>4.013090086085505</v>
      </c>
      <c r="G103" s="14">
        <v>91.486107908497885</v>
      </c>
      <c r="H103" s="23"/>
      <c r="I103" s="14">
        <v>95.103961780085655</v>
      </c>
      <c r="J103" s="14">
        <v>0.39523621449773932</v>
      </c>
      <c r="K103" s="14">
        <v>3.6178538715877657</v>
      </c>
      <c r="L103" s="14">
        <v>4.013090086085505</v>
      </c>
      <c r="M103" s="14">
        <v>91.486107908497885</v>
      </c>
      <c r="N103" s="23"/>
      <c r="O103" s="5">
        <f t="shared" si="7"/>
        <v>96</v>
      </c>
      <c r="P103" s="15">
        <f t="shared" ca="1" si="8"/>
        <v>95.103961780085569</v>
      </c>
      <c r="Q103" s="5">
        <f ca="1">IF(O103&gt;$D$2,0,IF($F$2=Choices!$A$2,IF(O103&gt;$E$2,OFFSET(LiborCurve!$A$1,O103,0)+$C$2,$B$2),$B$2))</f>
        <v>4.9870000000000005E-2</v>
      </c>
      <c r="R103" s="14">
        <f t="shared" ca="1" si="9"/>
        <v>0.39523621449773899</v>
      </c>
      <c r="S103" s="14">
        <f ca="1">IF(O103&gt;$D$2,0,IF($G$2=Choices!$B$1,-PMT(Q103/12,$D$2-(O103-1),P103),0))</f>
        <v>4.0130900860855228</v>
      </c>
      <c r="T103" s="14">
        <f ca="1">IF(AND($G$2=Choices!$B$2,O103=$D$2),P103,IF(AND($G$2=Choices!$B$2,O103&lt;$D$2),0,S103-R103))</f>
        <v>3.6178538715877839</v>
      </c>
      <c r="U103" s="14">
        <f t="shared" ca="1" si="10"/>
        <v>4.0130900860855228</v>
      </c>
      <c r="V103" s="14">
        <f t="shared" ca="1" si="11"/>
        <v>91.486107908497786</v>
      </c>
    </row>
    <row r="104" spans="1:22" x14ac:dyDescent="0.2">
      <c r="A104" s="5">
        <f t="shared" si="6"/>
        <v>97</v>
      </c>
      <c r="B104" s="23"/>
      <c r="C104" s="14">
        <v>91.486107908497885</v>
      </c>
      <c r="D104" s="14">
        <v>0.38218321578774989</v>
      </c>
      <c r="E104" s="14">
        <v>3.6319721313044049</v>
      </c>
      <c r="F104" s="14">
        <v>4.0141553470921547</v>
      </c>
      <c r="G104" s="14">
        <v>87.854135777193477</v>
      </c>
      <c r="H104" s="23"/>
      <c r="I104" s="14">
        <v>91.486107908497885</v>
      </c>
      <c r="J104" s="14">
        <v>0.38218321578774989</v>
      </c>
      <c r="K104" s="14">
        <v>3.6319721313044049</v>
      </c>
      <c r="L104" s="14">
        <v>4.0141553470921547</v>
      </c>
      <c r="M104" s="14">
        <v>87.854135777193477</v>
      </c>
      <c r="N104" s="23"/>
      <c r="O104" s="5">
        <f t="shared" si="7"/>
        <v>97</v>
      </c>
      <c r="P104" s="15">
        <f t="shared" ca="1" si="8"/>
        <v>91.486107908497786</v>
      </c>
      <c r="Q104" s="5">
        <f ca="1">IF(O104&gt;$D$2,0,IF($F$2=Choices!$A$2,IF(O104&gt;$E$2,OFFSET(LiborCurve!$A$1,O104,0)+$C$2,$B$2),$B$2))</f>
        <v>5.0130000000000001E-2</v>
      </c>
      <c r="R104" s="14">
        <f t="shared" ca="1" si="9"/>
        <v>0.38218321578774955</v>
      </c>
      <c r="S104" s="14">
        <f ca="1">IF(O104&gt;$D$2,0,IF($G$2=Choices!$B$1,-PMT(Q104/12,$D$2-(O104-1),P104),0))</f>
        <v>4.0141553470920996</v>
      </c>
      <c r="T104" s="14">
        <f ca="1">IF(AND($G$2=Choices!$B$2,O104=$D$2),P104,IF(AND($G$2=Choices!$B$2,O104&lt;$D$2),0,S104-R104))</f>
        <v>3.6319721313043503</v>
      </c>
      <c r="U104" s="14">
        <f t="shared" ca="1" si="10"/>
        <v>4.0141553470920996</v>
      </c>
      <c r="V104" s="14">
        <f t="shared" ca="1" si="11"/>
        <v>87.854135777193434</v>
      </c>
    </row>
    <row r="105" spans="1:22" x14ac:dyDescent="0.2">
      <c r="A105" s="5">
        <f t="shared" si="6"/>
        <v>98</v>
      </c>
      <c r="B105" s="23"/>
      <c r="C105" s="14">
        <v>87.854135777193477</v>
      </c>
      <c r="D105" s="14">
        <v>0.36913379382384126</v>
      </c>
      <c r="E105" s="14">
        <v>3.6461631956621741</v>
      </c>
      <c r="F105" s="14">
        <v>4.0152969894860151</v>
      </c>
      <c r="G105" s="14">
        <v>84.207972581531308</v>
      </c>
      <c r="H105" s="23"/>
      <c r="I105" s="14">
        <v>87.854135777193477</v>
      </c>
      <c r="J105" s="14">
        <v>0.36913379382384126</v>
      </c>
      <c r="K105" s="14">
        <v>3.6461631956621741</v>
      </c>
      <c r="L105" s="14">
        <v>4.0152969894860151</v>
      </c>
      <c r="M105" s="14">
        <v>84.207972581531308</v>
      </c>
      <c r="N105" s="23"/>
      <c r="O105" s="5">
        <f t="shared" si="7"/>
        <v>98</v>
      </c>
      <c r="P105" s="15">
        <f t="shared" ca="1" si="8"/>
        <v>87.854135777193434</v>
      </c>
      <c r="Q105" s="5">
        <f ca="1">IF(O105&gt;$D$2,0,IF($F$2=Choices!$A$2,IF(O105&gt;$E$2,OFFSET(LiborCurve!$A$1,O105,0)+$C$2,$B$2),$B$2))</f>
        <v>5.042E-2</v>
      </c>
      <c r="R105" s="14">
        <f t="shared" ca="1" si="9"/>
        <v>0.36913379382384109</v>
      </c>
      <c r="S105" s="14">
        <f ca="1">IF(O105&gt;$D$2,0,IF($G$2=Choices!$B$1,-PMT(Q105/12,$D$2-(O105-1),P105),0))</f>
        <v>4.0152969894860089</v>
      </c>
      <c r="T105" s="14">
        <f ca="1">IF(AND($G$2=Choices!$B$2,O105=$D$2),P105,IF(AND($G$2=Choices!$B$2,O105&lt;$D$2),0,S105-R105))</f>
        <v>3.6461631956621678</v>
      </c>
      <c r="U105" s="14">
        <f t="shared" ca="1" si="10"/>
        <v>4.0152969894860089</v>
      </c>
      <c r="V105" s="14">
        <f t="shared" ca="1" si="11"/>
        <v>84.207972581531266</v>
      </c>
    </row>
    <row r="106" spans="1:22" x14ac:dyDescent="0.2">
      <c r="A106" s="5">
        <f t="shared" si="6"/>
        <v>99</v>
      </c>
      <c r="B106" s="23"/>
      <c r="C106" s="14">
        <v>84.207972581531308</v>
      </c>
      <c r="D106" s="14">
        <v>0.35563833753600055</v>
      </c>
      <c r="E106" s="14">
        <v>3.6606403973035859</v>
      </c>
      <c r="F106" s="14">
        <v>4.0162787348395863</v>
      </c>
      <c r="G106" s="14">
        <v>80.547332184227727</v>
      </c>
      <c r="H106" s="23"/>
      <c r="I106" s="14">
        <v>84.207972581531308</v>
      </c>
      <c r="J106" s="14">
        <v>0.35563833753600055</v>
      </c>
      <c r="K106" s="14">
        <v>3.6606403973035859</v>
      </c>
      <c r="L106" s="14">
        <v>4.0162787348395863</v>
      </c>
      <c r="M106" s="14">
        <v>80.547332184227727</v>
      </c>
      <c r="N106" s="23"/>
      <c r="O106" s="5">
        <f t="shared" si="7"/>
        <v>99</v>
      </c>
      <c r="P106" s="15">
        <f t="shared" ca="1" si="8"/>
        <v>84.207972581531266</v>
      </c>
      <c r="Q106" s="5">
        <f ca="1">IF(O106&gt;$D$2,0,IF($F$2=Choices!$A$2,IF(O106&gt;$E$2,OFFSET(LiborCurve!$A$1,O106,0)+$C$2,$B$2),$B$2))</f>
        <v>5.0679999999999996E-2</v>
      </c>
      <c r="R106" s="14">
        <f t="shared" ca="1" si="9"/>
        <v>0.35563833753600038</v>
      </c>
      <c r="S106" s="14">
        <f ca="1">IF(O106&gt;$D$2,0,IF($G$2=Choices!$B$1,-PMT(Q106/12,$D$2-(O106-1),P106),0))</f>
        <v>4.016278734839509</v>
      </c>
      <c r="T106" s="14">
        <f ca="1">IF(AND($G$2=Choices!$B$2,O106=$D$2),P106,IF(AND($G$2=Choices!$B$2,O106&lt;$D$2),0,S106-R106))</f>
        <v>3.6606403973035087</v>
      </c>
      <c r="U106" s="14">
        <f t="shared" ca="1" si="10"/>
        <v>4.016278734839509</v>
      </c>
      <c r="V106" s="14">
        <f t="shared" ca="1" si="11"/>
        <v>80.547332184227756</v>
      </c>
    </row>
    <row r="107" spans="1:22" x14ac:dyDescent="0.2">
      <c r="A107" s="5">
        <f t="shared" si="6"/>
        <v>100</v>
      </c>
      <c r="B107" s="23"/>
      <c r="C107" s="14">
        <v>80.547332184227727</v>
      </c>
      <c r="D107" s="14">
        <v>0.34178917956840632</v>
      </c>
      <c r="E107" s="14">
        <v>3.6753571176352398</v>
      </c>
      <c r="F107" s="14">
        <v>4.017146297203646</v>
      </c>
      <c r="G107" s="14">
        <v>76.871975066592483</v>
      </c>
      <c r="H107" s="23"/>
      <c r="I107" s="14">
        <v>80.547332184227727</v>
      </c>
      <c r="J107" s="14">
        <v>0.34178917956840632</v>
      </c>
      <c r="K107" s="14">
        <v>3.6753571176352398</v>
      </c>
      <c r="L107" s="14">
        <v>4.017146297203646</v>
      </c>
      <c r="M107" s="14">
        <v>76.871975066592483</v>
      </c>
      <c r="N107" s="23"/>
      <c r="O107" s="5">
        <f t="shared" si="7"/>
        <v>100</v>
      </c>
      <c r="P107" s="15">
        <f t="shared" ca="1" si="8"/>
        <v>80.547332184227756</v>
      </c>
      <c r="Q107" s="5">
        <f ca="1">IF(O107&gt;$D$2,0,IF($F$2=Choices!$A$2,IF(O107&gt;$E$2,OFFSET(LiborCurve!$A$1,O107,0)+$C$2,$B$2),$B$2))</f>
        <v>5.092E-2</v>
      </c>
      <c r="R107" s="14">
        <f t="shared" ca="1" si="9"/>
        <v>0.34178917956840643</v>
      </c>
      <c r="S107" s="14">
        <f ca="1">IF(O107&gt;$D$2,0,IF($G$2=Choices!$B$1,-PMT(Q107/12,$D$2-(O107-1),P107),0))</f>
        <v>4.0171462972036824</v>
      </c>
      <c r="T107" s="14">
        <f ca="1">IF(AND($G$2=Choices!$B$2,O107=$D$2),P107,IF(AND($G$2=Choices!$B$2,O107&lt;$D$2),0,S107-R107))</f>
        <v>3.6753571176352762</v>
      </c>
      <c r="U107" s="14">
        <f t="shared" ca="1" si="10"/>
        <v>4.0171462972036824</v>
      </c>
      <c r="V107" s="14">
        <f t="shared" ca="1" si="11"/>
        <v>76.871975066592483</v>
      </c>
    </row>
    <row r="108" spans="1:22" x14ac:dyDescent="0.2">
      <c r="A108" s="5">
        <f t="shared" si="6"/>
        <v>101</v>
      </c>
      <c r="B108" s="23"/>
      <c r="C108" s="14">
        <v>76.871975066592483</v>
      </c>
      <c r="D108" s="14">
        <v>0.32766679372135044</v>
      </c>
      <c r="E108" s="14">
        <v>3.6902737915114896</v>
      </c>
      <c r="F108" s="14">
        <v>4.0179405852328403</v>
      </c>
      <c r="G108" s="14">
        <v>73.181701275080997</v>
      </c>
      <c r="H108" s="23"/>
      <c r="I108" s="14">
        <v>76.871975066592483</v>
      </c>
      <c r="J108" s="14">
        <v>0.32766679372135044</v>
      </c>
      <c r="K108" s="14">
        <v>3.6902737915114896</v>
      </c>
      <c r="L108" s="14">
        <v>4.0179405852328403</v>
      </c>
      <c r="M108" s="14">
        <v>73.181701275080997</v>
      </c>
      <c r="N108" s="23"/>
      <c r="O108" s="5">
        <f t="shared" si="7"/>
        <v>101</v>
      </c>
      <c r="P108" s="15">
        <f t="shared" ca="1" si="8"/>
        <v>76.871975066592483</v>
      </c>
      <c r="Q108" s="5">
        <f ca="1">IF(O108&gt;$D$2,0,IF($F$2=Choices!$A$2,IF(O108&gt;$E$2,OFFSET(LiborCurve!$A$1,O108,0)+$C$2,$B$2),$B$2))</f>
        <v>5.1149999999999994E-2</v>
      </c>
      <c r="R108" s="14">
        <f t="shared" ca="1" si="9"/>
        <v>0.32766679372135044</v>
      </c>
      <c r="S108" s="14">
        <f ca="1">IF(O108&gt;$D$2,0,IF($G$2=Choices!$B$1,-PMT(Q108/12,$D$2-(O108-1),P108),0))</f>
        <v>4.0179405852328927</v>
      </c>
      <c r="T108" s="14">
        <f ca="1">IF(AND($G$2=Choices!$B$2,O108=$D$2),P108,IF(AND($G$2=Choices!$B$2,O108&lt;$D$2),0,S108-R108))</f>
        <v>3.690273791511542</v>
      </c>
      <c r="U108" s="14">
        <f t="shared" ca="1" si="10"/>
        <v>4.0179405852328927</v>
      </c>
      <c r="V108" s="14">
        <f t="shared" ca="1" si="11"/>
        <v>73.18170127508094</v>
      </c>
    </row>
    <row r="109" spans="1:22" x14ac:dyDescent="0.2">
      <c r="A109" s="5">
        <f t="shared" si="6"/>
        <v>102</v>
      </c>
      <c r="B109" s="23"/>
      <c r="C109" s="14">
        <v>73.181701275080997</v>
      </c>
      <c r="D109" s="14">
        <v>0.3131566967062841</v>
      </c>
      <c r="E109" s="14">
        <v>3.7054422270262535</v>
      </c>
      <c r="F109" s="14">
        <v>4.0185989237325375</v>
      </c>
      <c r="G109" s="14">
        <v>69.476259048054743</v>
      </c>
      <c r="H109" s="23"/>
      <c r="I109" s="14">
        <v>73.181701275080997</v>
      </c>
      <c r="J109" s="14">
        <v>0.3131566967062841</v>
      </c>
      <c r="K109" s="14">
        <v>3.7054422270262535</v>
      </c>
      <c r="L109" s="14">
        <v>4.0185989237325375</v>
      </c>
      <c r="M109" s="14">
        <v>69.476259048054743</v>
      </c>
      <c r="N109" s="23"/>
      <c r="O109" s="5">
        <f t="shared" si="7"/>
        <v>102</v>
      </c>
      <c r="P109" s="15">
        <f t="shared" ca="1" si="8"/>
        <v>73.18170127508094</v>
      </c>
      <c r="Q109" s="5">
        <f ca="1">IF(O109&gt;$D$2,0,IF($F$2=Choices!$A$2,IF(O109&gt;$E$2,OFFSET(LiborCurve!$A$1,O109,0)+$C$2,$B$2),$B$2))</f>
        <v>5.135E-2</v>
      </c>
      <c r="R109" s="14">
        <f t="shared" ca="1" si="9"/>
        <v>0.31315669670628382</v>
      </c>
      <c r="S109" s="14">
        <f ca="1">IF(O109&gt;$D$2,0,IF($G$2=Choices!$B$1,-PMT(Q109/12,$D$2-(O109-1),P109),0))</f>
        <v>4.0185989237324806</v>
      </c>
      <c r="T109" s="14">
        <f ca="1">IF(AND($G$2=Choices!$B$2,O109=$D$2),P109,IF(AND($G$2=Choices!$B$2,O109&lt;$D$2),0,S109-R109))</f>
        <v>3.7054422270261966</v>
      </c>
      <c r="U109" s="14">
        <f t="shared" ca="1" si="10"/>
        <v>4.0185989237324806</v>
      </c>
      <c r="V109" s="14">
        <f t="shared" ca="1" si="11"/>
        <v>69.476259048054743</v>
      </c>
    </row>
    <row r="110" spans="1:22" x14ac:dyDescent="0.2">
      <c r="A110" s="5">
        <f t="shared" si="6"/>
        <v>103</v>
      </c>
      <c r="B110" s="23"/>
      <c r="C110" s="14">
        <v>69.476259048054743</v>
      </c>
      <c r="D110" s="14">
        <v>0.29828473884631507</v>
      </c>
      <c r="E110" s="14">
        <v>3.7208462228093802</v>
      </c>
      <c r="F110" s="14">
        <v>4.0191309616556952</v>
      </c>
      <c r="G110" s="14">
        <v>65.755412825245358</v>
      </c>
      <c r="H110" s="23"/>
      <c r="I110" s="14">
        <v>69.476259048054743</v>
      </c>
      <c r="J110" s="14">
        <v>0.29828473884631507</v>
      </c>
      <c r="K110" s="14">
        <v>3.7208462228093802</v>
      </c>
      <c r="L110" s="14">
        <v>4.0191309616556952</v>
      </c>
      <c r="M110" s="14">
        <v>65.755412825245358</v>
      </c>
      <c r="N110" s="23"/>
      <c r="O110" s="5">
        <f t="shared" si="7"/>
        <v>103</v>
      </c>
      <c r="P110" s="15">
        <f t="shared" ca="1" si="8"/>
        <v>69.476259048054743</v>
      </c>
      <c r="Q110" s="5">
        <f ca="1">IF(O110&gt;$D$2,0,IF($F$2=Choices!$A$2,IF(O110&gt;$E$2,OFFSET(LiborCurve!$A$1,O110,0)+$C$2,$B$2),$B$2))</f>
        <v>5.1520000000000003E-2</v>
      </c>
      <c r="R110" s="14">
        <f t="shared" ca="1" si="9"/>
        <v>0.29828473884631507</v>
      </c>
      <c r="S110" s="14">
        <f ca="1">IF(O110&gt;$D$2,0,IF($G$2=Choices!$B$1,-PMT(Q110/12,$D$2-(O110-1),P110),0))</f>
        <v>4.0191309616556259</v>
      </c>
      <c r="T110" s="14">
        <f ca="1">IF(AND($G$2=Choices!$B$2,O110=$D$2),P110,IF(AND($G$2=Choices!$B$2,O110&lt;$D$2),0,S110-R110))</f>
        <v>3.7208462228093109</v>
      </c>
      <c r="U110" s="14">
        <f t="shared" ca="1" si="10"/>
        <v>4.0191309616556259</v>
      </c>
      <c r="V110" s="14">
        <f t="shared" ca="1" si="11"/>
        <v>65.755412825245429</v>
      </c>
    </row>
    <row r="111" spans="1:22" x14ac:dyDescent="0.2">
      <c r="A111" s="5">
        <f t="shared" si="6"/>
        <v>104</v>
      </c>
      <c r="B111" s="23"/>
      <c r="C111" s="14">
        <v>65.755412825245358</v>
      </c>
      <c r="D111" s="14">
        <v>0.28318664456739001</v>
      </c>
      <c r="E111" s="14">
        <v>3.7364190814991081</v>
      </c>
      <c r="F111" s="14">
        <v>4.0196057260664979</v>
      </c>
      <c r="G111" s="14">
        <v>62.01899374374625</v>
      </c>
      <c r="H111" s="23"/>
      <c r="I111" s="14">
        <v>65.755412825245358</v>
      </c>
      <c r="J111" s="14">
        <v>0.28318664456739001</v>
      </c>
      <c r="K111" s="14">
        <v>3.7364190814991081</v>
      </c>
      <c r="L111" s="14">
        <v>4.0196057260664979</v>
      </c>
      <c r="M111" s="14">
        <v>62.01899374374625</v>
      </c>
      <c r="N111" s="23"/>
      <c r="O111" s="5">
        <f t="shared" si="7"/>
        <v>104</v>
      </c>
      <c r="P111" s="15">
        <f t="shared" ca="1" si="8"/>
        <v>65.755412825245429</v>
      </c>
      <c r="Q111" s="5">
        <f ca="1">IF(O111&gt;$D$2,0,IF($F$2=Choices!$A$2,IF(O111&gt;$E$2,OFFSET(LiborCurve!$A$1,O111,0)+$C$2,$B$2),$B$2))</f>
        <v>5.1679999999999997E-2</v>
      </c>
      <c r="R111" s="14">
        <f t="shared" ca="1" si="9"/>
        <v>0.28318664456739029</v>
      </c>
      <c r="S111" s="14">
        <f ca="1">IF(O111&gt;$D$2,0,IF($G$2=Choices!$B$1,-PMT(Q111/12,$D$2-(O111-1),P111),0))</f>
        <v>4.0196057260665139</v>
      </c>
      <c r="T111" s="14">
        <f ca="1">IF(AND($G$2=Choices!$B$2,O111=$D$2),P111,IF(AND($G$2=Choices!$B$2,O111&lt;$D$2),0,S111-R111))</f>
        <v>3.7364190814991236</v>
      </c>
      <c r="U111" s="14">
        <f t="shared" ca="1" si="10"/>
        <v>4.0196057260665139</v>
      </c>
      <c r="V111" s="14">
        <f t="shared" ca="1" si="11"/>
        <v>62.018993743746307</v>
      </c>
    </row>
    <row r="112" spans="1:22" x14ac:dyDescent="0.2">
      <c r="A112" s="5">
        <f t="shared" si="6"/>
        <v>105</v>
      </c>
      <c r="B112" s="23"/>
      <c r="C112" s="14">
        <v>62.01899374374625</v>
      </c>
      <c r="D112" s="14">
        <v>0.26781868798341085</v>
      </c>
      <c r="E112" s="14">
        <v>3.7521796870011492</v>
      </c>
      <c r="F112" s="14">
        <v>4.01999837498456</v>
      </c>
      <c r="G112" s="14">
        <v>58.266814056745105</v>
      </c>
      <c r="H112" s="23"/>
      <c r="I112" s="14">
        <v>62.01899374374625</v>
      </c>
      <c r="J112" s="14">
        <v>0.26781868798341085</v>
      </c>
      <c r="K112" s="14">
        <v>3.7521796870011492</v>
      </c>
      <c r="L112" s="14">
        <v>4.01999837498456</v>
      </c>
      <c r="M112" s="14">
        <v>58.266814056745105</v>
      </c>
      <c r="N112" s="23"/>
      <c r="O112" s="5">
        <f t="shared" si="7"/>
        <v>105</v>
      </c>
      <c r="P112" s="15">
        <f t="shared" ca="1" si="8"/>
        <v>62.018993743746307</v>
      </c>
      <c r="Q112" s="5">
        <f ca="1">IF(O112&gt;$D$2,0,IF($F$2=Choices!$A$2,IF(O112&gt;$E$2,OFFSET(LiborCurve!$A$1,O112,0)+$C$2,$B$2),$B$2))</f>
        <v>5.1819999999999998E-2</v>
      </c>
      <c r="R112" s="14">
        <f t="shared" ca="1" si="9"/>
        <v>0.26781868798341113</v>
      </c>
      <c r="S112" s="14">
        <f ca="1">IF(O112&gt;$D$2,0,IF($G$2=Choices!$B$1,-PMT(Q112/12,$D$2-(O112-1),P112),0))</f>
        <v>4.0199983749846453</v>
      </c>
      <c r="T112" s="14">
        <f ca="1">IF(AND($G$2=Choices!$B$2,O112=$D$2),P112,IF(AND($G$2=Choices!$B$2,O112&lt;$D$2),0,S112-R112))</f>
        <v>3.7521796870012341</v>
      </c>
      <c r="U112" s="14">
        <f t="shared" ca="1" si="10"/>
        <v>4.0199983749846453</v>
      </c>
      <c r="V112" s="14">
        <f t="shared" ca="1" si="11"/>
        <v>58.266814056745076</v>
      </c>
    </row>
    <row r="113" spans="1:22" x14ac:dyDescent="0.2">
      <c r="A113" s="5">
        <f t="shared" si="6"/>
        <v>106</v>
      </c>
      <c r="B113" s="23"/>
      <c r="C113" s="14">
        <v>58.266814056745105</v>
      </c>
      <c r="D113" s="14">
        <v>0.25214963783056443</v>
      </c>
      <c r="E113" s="14">
        <v>3.7681393244255199</v>
      </c>
      <c r="F113" s="14">
        <v>4.0202889622560845</v>
      </c>
      <c r="G113" s="14">
        <v>54.498674732319586</v>
      </c>
      <c r="H113" s="23"/>
      <c r="I113" s="14">
        <v>58.266814056745105</v>
      </c>
      <c r="J113" s="14">
        <v>0.25214963783056443</v>
      </c>
      <c r="K113" s="14">
        <v>3.7681393244255199</v>
      </c>
      <c r="L113" s="14">
        <v>4.0202889622560845</v>
      </c>
      <c r="M113" s="14">
        <v>54.498674732319586</v>
      </c>
      <c r="N113" s="23"/>
      <c r="O113" s="5">
        <f t="shared" si="7"/>
        <v>106</v>
      </c>
      <c r="P113" s="15">
        <f t="shared" ca="1" si="8"/>
        <v>58.266814056745076</v>
      </c>
      <c r="Q113" s="5">
        <f ca="1">IF(O113&gt;$D$2,0,IF($F$2=Choices!$A$2,IF(O113&gt;$E$2,OFFSET(LiborCurve!$A$1,O113,0)+$C$2,$B$2),$B$2))</f>
        <v>5.1929999999999997E-2</v>
      </c>
      <c r="R113" s="14">
        <f t="shared" ca="1" si="9"/>
        <v>0.25214963783056432</v>
      </c>
      <c r="S113" s="14">
        <f ca="1">IF(O113&gt;$D$2,0,IF($G$2=Choices!$B$1,-PMT(Q113/12,$D$2-(O113-1),P113),0))</f>
        <v>4.0202889622561226</v>
      </c>
      <c r="T113" s="14">
        <f ca="1">IF(AND($G$2=Choices!$B$2,O113=$D$2),P113,IF(AND($G$2=Choices!$B$2,O113&lt;$D$2),0,S113-R113))</f>
        <v>3.7681393244255581</v>
      </c>
      <c r="U113" s="14">
        <f t="shared" ca="1" si="10"/>
        <v>4.0202889622561226</v>
      </c>
      <c r="V113" s="14">
        <f t="shared" ca="1" si="11"/>
        <v>54.498674732319515</v>
      </c>
    </row>
    <row r="114" spans="1:22" x14ac:dyDescent="0.2">
      <c r="A114" s="5">
        <f t="shared" si="6"/>
        <v>107</v>
      </c>
      <c r="B114" s="23"/>
      <c r="C114" s="14">
        <v>54.498674732319586</v>
      </c>
      <c r="D114" s="14">
        <v>0.2362517549646054</v>
      </c>
      <c r="E114" s="14">
        <v>3.784260271133451</v>
      </c>
      <c r="F114" s="14">
        <v>4.0205120260980562</v>
      </c>
      <c r="G114" s="14">
        <v>50.714414461186138</v>
      </c>
      <c r="H114" s="23"/>
      <c r="I114" s="14">
        <v>54.498674732319586</v>
      </c>
      <c r="J114" s="14">
        <v>0.2362517549646054</v>
      </c>
      <c r="K114" s="14">
        <v>3.784260271133451</v>
      </c>
      <c r="L114" s="14">
        <v>4.0205120260980562</v>
      </c>
      <c r="M114" s="14">
        <v>50.714414461186138</v>
      </c>
      <c r="N114" s="23"/>
      <c r="O114" s="5">
        <f t="shared" si="7"/>
        <v>107</v>
      </c>
      <c r="P114" s="15">
        <f t="shared" ca="1" si="8"/>
        <v>54.498674732319515</v>
      </c>
      <c r="Q114" s="5">
        <f ca="1">IF(O114&gt;$D$2,0,IF($F$2=Choices!$A$2,IF(O114&gt;$E$2,OFFSET(LiborCurve!$A$1,O114,0)+$C$2,$B$2),$B$2))</f>
        <v>5.2020000000000004E-2</v>
      </c>
      <c r="R114" s="14">
        <f t="shared" ca="1" si="9"/>
        <v>0.23625175496460513</v>
      </c>
      <c r="S114" s="14">
        <f ca="1">IF(O114&gt;$D$2,0,IF($G$2=Choices!$B$1,-PMT(Q114/12,$D$2-(O114-1),P114),0))</f>
        <v>4.0205120260980349</v>
      </c>
      <c r="T114" s="14">
        <f ca="1">IF(AND($G$2=Choices!$B$2,O114=$D$2),P114,IF(AND($G$2=Choices!$B$2,O114&lt;$D$2),0,S114-R114))</f>
        <v>3.7842602711334297</v>
      </c>
      <c r="U114" s="14">
        <f t="shared" ca="1" si="10"/>
        <v>4.0205120260980349</v>
      </c>
      <c r="V114" s="14">
        <f t="shared" ca="1" si="11"/>
        <v>50.714414461186088</v>
      </c>
    </row>
    <row r="115" spans="1:22" x14ac:dyDescent="0.2">
      <c r="A115" s="5">
        <f t="shared" si="6"/>
        <v>108</v>
      </c>
      <c r="B115" s="23"/>
      <c r="C115" s="14">
        <v>50.714414461186138</v>
      </c>
      <c r="D115" s="14">
        <v>0.22018508278564983</v>
      </c>
      <c r="E115" s="14">
        <v>3.8005121436872291</v>
      </c>
      <c r="F115" s="14">
        <v>4.0206972264728789</v>
      </c>
      <c r="G115" s="14">
        <v>46.913902317498909</v>
      </c>
      <c r="H115" s="23"/>
      <c r="I115" s="14">
        <v>50.714414461186138</v>
      </c>
      <c r="J115" s="14">
        <v>0.22018508278564983</v>
      </c>
      <c r="K115" s="14">
        <v>3.8005121436872291</v>
      </c>
      <c r="L115" s="14">
        <v>4.0206972264728789</v>
      </c>
      <c r="M115" s="14">
        <v>46.913902317498909</v>
      </c>
      <c r="N115" s="23"/>
      <c r="O115" s="5">
        <f t="shared" si="7"/>
        <v>108</v>
      </c>
      <c r="P115" s="15">
        <f t="shared" ca="1" si="8"/>
        <v>50.714414461186088</v>
      </c>
      <c r="Q115" s="5">
        <f ca="1">IF(O115&gt;$D$2,0,IF($F$2=Choices!$A$2,IF(O115&gt;$E$2,OFFSET(LiborCurve!$A$1,O115,0)+$C$2,$B$2),$B$2))</f>
        <v>5.21E-2</v>
      </c>
      <c r="R115" s="14">
        <f t="shared" ca="1" si="9"/>
        <v>0.22018508278564961</v>
      </c>
      <c r="S115" s="14">
        <f ca="1">IF(O115&gt;$D$2,0,IF($G$2=Choices!$B$1,-PMT(Q115/12,$D$2-(O115-1),P115),0))</f>
        <v>4.020697226472894</v>
      </c>
      <c r="T115" s="14">
        <f ca="1">IF(AND($G$2=Choices!$B$2,O115=$D$2),P115,IF(AND($G$2=Choices!$B$2,O115&lt;$D$2),0,S115-R115))</f>
        <v>3.8005121436872442</v>
      </c>
      <c r="U115" s="14">
        <f t="shared" ca="1" si="10"/>
        <v>4.020697226472894</v>
      </c>
      <c r="V115" s="14">
        <f t="shared" ca="1" si="11"/>
        <v>46.913902317498845</v>
      </c>
    </row>
    <row r="116" spans="1:22" x14ac:dyDescent="0.2">
      <c r="A116" s="5">
        <f t="shared" si="6"/>
        <v>109</v>
      </c>
      <c r="B116" s="23"/>
      <c r="C116" s="14">
        <v>46.913902317498909</v>
      </c>
      <c r="D116" s="14">
        <v>0.20388000048813068</v>
      </c>
      <c r="E116" s="14">
        <v>3.8169247888232376</v>
      </c>
      <c r="F116" s="14">
        <v>4.0208047893113683</v>
      </c>
      <c r="G116" s="14">
        <v>43.096977528675673</v>
      </c>
      <c r="H116" s="23"/>
      <c r="I116" s="14">
        <v>46.913902317498909</v>
      </c>
      <c r="J116" s="14">
        <v>0.20388000048813068</v>
      </c>
      <c r="K116" s="14">
        <v>3.8169247888232376</v>
      </c>
      <c r="L116" s="14">
        <v>4.0208047893113683</v>
      </c>
      <c r="M116" s="14">
        <v>43.096977528675673</v>
      </c>
      <c r="N116" s="23"/>
      <c r="O116" s="5">
        <f t="shared" si="7"/>
        <v>109</v>
      </c>
      <c r="P116" s="15">
        <f t="shared" ca="1" si="8"/>
        <v>46.913902317498845</v>
      </c>
      <c r="Q116" s="5">
        <f ca="1">IF(O116&gt;$D$2,0,IF($F$2=Choices!$A$2,IF(O116&gt;$E$2,OFFSET(LiborCurve!$A$1,O116,0)+$C$2,$B$2),$B$2))</f>
        <v>5.2149999999999995E-2</v>
      </c>
      <c r="R116" s="14">
        <f t="shared" ca="1" si="9"/>
        <v>0.20388000048813038</v>
      </c>
      <c r="S116" s="14">
        <f ca="1">IF(O116&gt;$D$2,0,IF($G$2=Choices!$B$1,-PMT(Q116/12,$D$2-(O116-1),P116),0))</f>
        <v>4.0208047893113106</v>
      </c>
      <c r="T116" s="14">
        <f ca="1">IF(AND($G$2=Choices!$B$2,O116=$D$2),P116,IF(AND($G$2=Choices!$B$2,O116&lt;$D$2),0,S116-R116))</f>
        <v>3.8169247888231803</v>
      </c>
      <c r="U116" s="14">
        <f t="shared" ca="1" si="10"/>
        <v>4.0208047893113106</v>
      </c>
      <c r="V116" s="14">
        <f t="shared" ca="1" si="11"/>
        <v>43.096977528675666</v>
      </c>
    </row>
    <row r="117" spans="1:22" x14ac:dyDescent="0.2">
      <c r="A117" s="5">
        <f t="shared" si="6"/>
        <v>110</v>
      </c>
      <c r="B117" s="23"/>
      <c r="C117" s="14">
        <v>43.096977528675673</v>
      </c>
      <c r="D117" s="14">
        <v>0.18740002395385805</v>
      </c>
      <c r="E117" s="14">
        <v>3.8334643827059272</v>
      </c>
      <c r="F117" s="14">
        <v>4.0208644066597854</v>
      </c>
      <c r="G117" s="14">
        <v>39.263513145969746</v>
      </c>
      <c r="H117" s="23"/>
      <c r="I117" s="14">
        <v>43.096977528675673</v>
      </c>
      <c r="J117" s="14">
        <v>0.18740002395385805</v>
      </c>
      <c r="K117" s="14">
        <v>3.8334643827059272</v>
      </c>
      <c r="L117" s="14">
        <v>4.0208644066597854</v>
      </c>
      <c r="M117" s="14">
        <v>39.263513145969746</v>
      </c>
      <c r="N117" s="23"/>
      <c r="O117" s="5">
        <f t="shared" si="7"/>
        <v>110</v>
      </c>
      <c r="P117" s="15">
        <f t="shared" ca="1" si="8"/>
        <v>43.096977528675666</v>
      </c>
      <c r="Q117" s="5">
        <f ca="1">IF(O117&gt;$D$2,0,IF($F$2=Choices!$A$2,IF(O117&gt;$E$2,OFFSET(LiborCurve!$A$1,O117,0)+$C$2,$B$2),$B$2))</f>
        <v>5.2179999999999997E-2</v>
      </c>
      <c r="R117" s="14">
        <f t="shared" ca="1" si="9"/>
        <v>0.18740002395385802</v>
      </c>
      <c r="S117" s="14">
        <f ca="1">IF(O117&gt;$D$2,0,IF($G$2=Choices!$B$1,-PMT(Q117/12,$D$2-(O117-1),P117),0))</f>
        <v>4.020864406659836</v>
      </c>
      <c r="T117" s="14">
        <f ca="1">IF(AND($G$2=Choices!$B$2,O117=$D$2),P117,IF(AND($G$2=Choices!$B$2,O117&lt;$D$2),0,S117-R117))</f>
        <v>3.8334643827059782</v>
      </c>
      <c r="U117" s="14">
        <f t="shared" ca="1" si="10"/>
        <v>4.020864406659836</v>
      </c>
      <c r="V117" s="14">
        <f t="shared" ca="1" si="11"/>
        <v>39.263513145969689</v>
      </c>
    </row>
    <row r="118" spans="1:22" x14ac:dyDescent="0.2">
      <c r="A118" s="5">
        <f t="shared" si="6"/>
        <v>111</v>
      </c>
      <c r="B118" s="23"/>
      <c r="C118" s="14">
        <v>39.263513145969746</v>
      </c>
      <c r="D118" s="14">
        <v>0.17079628218496842</v>
      </c>
      <c r="E118" s="14">
        <v>3.8501045840727754</v>
      </c>
      <c r="F118" s="14">
        <v>4.0209008662577439</v>
      </c>
      <c r="G118" s="14">
        <v>35.413408561896972</v>
      </c>
      <c r="H118" s="23"/>
      <c r="I118" s="14">
        <v>39.263513145969746</v>
      </c>
      <c r="J118" s="14">
        <v>0.17079628218496842</v>
      </c>
      <c r="K118" s="14">
        <v>3.8501045840727754</v>
      </c>
      <c r="L118" s="14">
        <v>4.0209008662577439</v>
      </c>
      <c r="M118" s="14">
        <v>35.413408561896972</v>
      </c>
      <c r="N118" s="23"/>
      <c r="O118" s="5">
        <f t="shared" si="7"/>
        <v>111</v>
      </c>
      <c r="P118" s="15">
        <f t="shared" ca="1" si="8"/>
        <v>39.263513145969689</v>
      </c>
      <c r="Q118" s="5">
        <f ca="1">IF(O118&gt;$D$2,0,IF($F$2=Choices!$A$2,IF(O118&gt;$E$2,OFFSET(LiborCurve!$A$1,O118,0)+$C$2,$B$2),$B$2))</f>
        <v>5.2200000000000003E-2</v>
      </c>
      <c r="R118" s="14">
        <f t="shared" ca="1" si="9"/>
        <v>0.17079628218496815</v>
      </c>
      <c r="S118" s="14">
        <f ca="1">IF(O118&gt;$D$2,0,IF($G$2=Choices!$B$1,-PMT(Q118/12,$D$2-(O118-1),P118),0))</f>
        <v>4.0209008662578132</v>
      </c>
      <c r="T118" s="14">
        <f ca="1">IF(AND($G$2=Choices!$B$2,O118=$D$2),P118,IF(AND($G$2=Choices!$B$2,O118&lt;$D$2),0,S118-R118))</f>
        <v>3.8501045840728452</v>
      </c>
      <c r="U118" s="14">
        <f t="shared" ca="1" si="10"/>
        <v>4.0209008662578132</v>
      </c>
      <c r="V118" s="14">
        <f t="shared" ca="1" si="11"/>
        <v>35.413408561896844</v>
      </c>
    </row>
    <row r="119" spans="1:22" x14ac:dyDescent="0.2">
      <c r="A119" s="5">
        <f t="shared" si="6"/>
        <v>112</v>
      </c>
      <c r="B119" s="23"/>
      <c r="C119" s="14">
        <v>35.413408561896972</v>
      </c>
      <c r="D119" s="14">
        <v>0.15413686076565658</v>
      </c>
      <c r="E119" s="14">
        <v>3.8668137596105714</v>
      </c>
      <c r="F119" s="14">
        <v>4.0209506203762277</v>
      </c>
      <c r="G119" s="14">
        <v>31.5465948022864</v>
      </c>
      <c r="H119" s="23"/>
      <c r="I119" s="14">
        <v>35.413408561896972</v>
      </c>
      <c r="J119" s="14">
        <v>0.15413686076565658</v>
      </c>
      <c r="K119" s="14">
        <v>3.8668137596105714</v>
      </c>
      <c r="L119" s="14">
        <v>4.0209506203762277</v>
      </c>
      <c r="M119" s="14">
        <v>31.5465948022864</v>
      </c>
      <c r="N119" s="23"/>
      <c r="O119" s="5">
        <f t="shared" si="7"/>
        <v>112</v>
      </c>
      <c r="P119" s="15">
        <f t="shared" ca="1" si="8"/>
        <v>35.413408561896844</v>
      </c>
      <c r="Q119" s="5">
        <f ca="1">IF(O119&gt;$D$2,0,IF($F$2=Choices!$A$2,IF(O119&gt;$E$2,OFFSET(LiborCurve!$A$1,O119,0)+$C$2,$B$2),$B$2))</f>
        <v>5.2230000000000006E-2</v>
      </c>
      <c r="R119" s="14">
        <f t="shared" ca="1" si="9"/>
        <v>0.15413686076565603</v>
      </c>
      <c r="S119" s="14">
        <f ca="1">IF(O119&gt;$D$2,0,IF($G$2=Choices!$B$1,-PMT(Q119/12,$D$2-(O119-1),P119),0))</f>
        <v>4.020950620376186</v>
      </c>
      <c r="T119" s="14">
        <f ca="1">IF(AND($G$2=Choices!$B$2,O119=$D$2),P119,IF(AND($G$2=Choices!$B$2,O119&lt;$D$2),0,S119-R119))</f>
        <v>3.8668137596105301</v>
      </c>
      <c r="U119" s="14">
        <f t="shared" ca="1" si="10"/>
        <v>4.020950620376186</v>
      </c>
      <c r="V119" s="14">
        <f t="shared" ca="1" si="11"/>
        <v>31.546594802286315</v>
      </c>
    </row>
    <row r="120" spans="1:22" x14ac:dyDescent="0.2">
      <c r="A120" s="5">
        <f t="shared" si="6"/>
        <v>113</v>
      </c>
      <c r="B120" s="23"/>
      <c r="C120" s="14">
        <v>31.5465948022864</v>
      </c>
      <c r="D120" s="14">
        <v>0.13735913153495535</v>
      </c>
      <c r="E120" s="14">
        <v>3.8836213632001453</v>
      </c>
      <c r="F120" s="14">
        <v>4.0209804947351007</v>
      </c>
      <c r="G120" s="14">
        <v>27.662973439086255</v>
      </c>
      <c r="H120" s="23"/>
      <c r="I120" s="14">
        <v>31.5465948022864</v>
      </c>
      <c r="J120" s="14">
        <v>0.13735913153495535</v>
      </c>
      <c r="K120" s="14">
        <v>3.8836213632001453</v>
      </c>
      <c r="L120" s="14">
        <v>4.0209804947351007</v>
      </c>
      <c r="M120" s="14">
        <v>27.662973439086255</v>
      </c>
      <c r="N120" s="23"/>
      <c r="O120" s="5">
        <f t="shared" si="7"/>
        <v>113</v>
      </c>
      <c r="P120" s="15">
        <f t="shared" ca="1" si="8"/>
        <v>31.546594802286315</v>
      </c>
      <c r="Q120" s="5">
        <f ca="1">IF(O120&gt;$D$2,0,IF($F$2=Choices!$A$2,IF(O120&gt;$E$2,OFFSET(LiborCurve!$A$1,O120,0)+$C$2,$B$2),$B$2))</f>
        <v>5.2249999999999998E-2</v>
      </c>
      <c r="R120" s="14">
        <f t="shared" ca="1" si="9"/>
        <v>0.13735913153495499</v>
      </c>
      <c r="S120" s="14">
        <f ca="1">IF(O120&gt;$D$2,0,IF($G$2=Choices!$B$1,-PMT(Q120/12,$D$2-(O120-1),P120),0))</f>
        <v>4.0209804947350953</v>
      </c>
      <c r="T120" s="14">
        <f ca="1">IF(AND($G$2=Choices!$B$2,O120=$D$2),P120,IF(AND($G$2=Choices!$B$2,O120&lt;$D$2),0,S120-R120))</f>
        <v>3.8836213632001404</v>
      </c>
      <c r="U120" s="14">
        <f t="shared" ca="1" si="10"/>
        <v>4.0209804947350953</v>
      </c>
      <c r="V120" s="14">
        <f t="shared" ca="1" si="11"/>
        <v>27.662973439086173</v>
      </c>
    </row>
    <row r="121" spans="1:22" x14ac:dyDescent="0.2">
      <c r="A121" s="5">
        <f t="shared" si="6"/>
        <v>114</v>
      </c>
      <c r="B121" s="23"/>
      <c r="C121" s="14">
        <v>27.662973439086255</v>
      </c>
      <c r="D121" s="14">
        <v>0.12049530180508655</v>
      </c>
      <c r="E121" s="14">
        <v>3.9005117673361545</v>
      </c>
      <c r="F121" s="14">
        <v>4.0210070691412412</v>
      </c>
      <c r="G121" s="14">
        <v>23.762461671750099</v>
      </c>
      <c r="H121" s="23"/>
      <c r="I121" s="14">
        <v>27.662973439086255</v>
      </c>
      <c r="J121" s="14">
        <v>0.12049530180508655</v>
      </c>
      <c r="K121" s="14">
        <v>3.9005117673361545</v>
      </c>
      <c r="L121" s="14">
        <v>4.0210070691412412</v>
      </c>
      <c r="M121" s="14">
        <v>23.762461671750099</v>
      </c>
      <c r="N121" s="23"/>
      <c r="O121" s="5">
        <f t="shared" si="7"/>
        <v>114</v>
      </c>
      <c r="P121" s="15">
        <f t="shared" ca="1" si="8"/>
        <v>27.662973439086173</v>
      </c>
      <c r="Q121" s="5">
        <f ca="1">IF(O121&gt;$D$2,0,IF($F$2=Choices!$A$2,IF(O121&gt;$E$2,OFFSET(LiborCurve!$A$1,O121,0)+$C$2,$B$2),$B$2))</f>
        <v>5.2270000000000004E-2</v>
      </c>
      <c r="R121" s="14">
        <f t="shared" ca="1" si="9"/>
        <v>0.12049530180508621</v>
      </c>
      <c r="S121" s="14">
        <f ca="1">IF(O121&gt;$D$2,0,IF($G$2=Choices!$B$1,-PMT(Q121/12,$D$2-(O121-1),P121),0))</f>
        <v>4.0210070691412207</v>
      </c>
      <c r="T121" s="14">
        <f ca="1">IF(AND($G$2=Choices!$B$2,O121=$D$2),P121,IF(AND($G$2=Choices!$B$2,O121&lt;$D$2),0,S121-R121))</f>
        <v>3.9005117673361345</v>
      </c>
      <c r="U121" s="14">
        <f t="shared" ca="1" si="10"/>
        <v>4.0210070691412207</v>
      </c>
      <c r="V121" s="14">
        <f t="shared" ca="1" si="11"/>
        <v>23.762461671750039</v>
      </c>
    </row>
    <row r="122" spans="1:22" x14ac:dyDescent="0.2">
      <c r="A122" s="5">
        <f t="shared" si="6"/>
        <v>115</v>
      </c>
      <c r="B122" s="23"/>
      <c r="C122" s="14">
        <v>23.762461671750099</v>
      </c>
      <c r="D122" s="14">
        <v>0.10354492673465104</v>
      </c>
      <c r="E122" s="14">
        <v>3.9174854119989995</v>
      </c>
      <c r="F122" s="14">
        <v>4.0210303387336506</v>
      </c>
      <c r="G122" s="14">
        <v>19.8449762597511</v>
      </c>
      <c r="H122" s="23"/>
      <c r="I122" s="14">
        <v>23.762461671750099</v>
      </c>
      <c r="J122" s="14">
        <v>0.10354492673465104</v>
      </c>
      <c r="K122" s="14">
        <v>3.9174854119989995</v>
      </c>
      <c r="L122" s="14">
        <v>4.0210303387336506</v>
      </c>
      <c r="M122" s="14">
        <v>19.8449762597511</v>
      </c>
      <c r="N122" s="23"/>
      <c r="O122" s="5">
        <f t="shared" si="7"/>
        <v>115</v>
      </c>
      <c r="P122" s="15">
        <f t="shared" ca="1" si="8"/>
        <v>23.762461671750039</v>
      </c>
      <c r="Q122" s="5">
        <f ca="1">IF(O122&gt;$D$2,0,IF($F$2=Choices!$A$2,IF(O122&gt;$E$2,OFFSET(LiborCurve!$A$1,O122,0)+$C$2,$B$2),$B$2))</f>
        <v>5.2289999999999996E-2</v>
      </c>
      <c r="R122" s="14">
        <f t="shared" ca="1" si="9"/>
        <v>0.10354492673465078</v>
      </c>
      <c r="S122" s="14">
        <f ca="1">IF(O122&gt;$D$2,0,IF($G$2=Choices!$B$1,-PMT(Q122/12,$D$2-(O122-1),P122),0))</f>
        <v>4.0210303387336559</v>
      </c>
      <c r="T122" s="14">
        <f ca="1">IF(AND($G$2=Choices!$B$2,O122=$D$2),P122,IF(AND($G$2=Choices!$B$2,O122&lt;$D$2),0,S122-R122))</f>
        <v>3.9174854119990052</v>
      </c>
      <c r="U122" s="14">
        <f t="shared" ca="1" si="10"/>
        <v>4.0210303387336559</v>
      </c>
      <c r="V122" s="14">
        <f t="shared" ca="1" si="11"/>
        <v>19.844976259751032</v>
      </c>
    </row>
    <row r="123" spans="1:22" x14ac:dyDescent="0.2">
      <c r="A123" s="5">
        <f t="shared" si="6"/>
        <v>116</v>
      </c>
      <c r="B123" s="23"/>
      <c r="C123" s="14">
        <v>19.8449762597511</v>
      </c>
      <c r="D123" s="14">
        <v>8.649102153208188E-2</v>
      </c>
      <c r="E123" s="14">
        <v>3.9345492971563298</v>
      </c>
      <c r="F123" s="14">
        <v>4.0210403186884118</v>
      </c>
      <c r="G123" s="14">
        <v>15.910426962594769</v>
      </c>
      <c r="H123" s="23"/>
      <c r="I123" s="14">
        <v>19.8449762597511</v>
      </c>
      <c r="J123" s="14">
        <v>8.649102153208188E-2</v>
      </c>
      <c r="K123" s="14">
        <v>3.9345492971563298</v>
      </c>
      <c r="L123" s="14">
        <v>4.0210403186884118</v>
      </c>
      <c r="M123" s="14">
        <v>15.910426962594769</v>
      </c>
      <c r="N123" s="23"/>
      <c r="O123" s="5">
        <f t="shared" si="7"/>
        <v>116</v>
      </c>
      <c r="P123" s="15">
        <f t="shared" ca="1" si="8"/>
        <v>19.844976259751032</v>
      </c>
      <c r="Q123" s="5">
        <f ca="1">IF(O123&gt;$D$2,0,IF($F$2=Choices!$A$2,IF(O123&gt;$E$2,OFFSET(LiborCurve!$A$1,O123,0)+$C$2,$B$2),$B$2))</f>
        <v>5.2300000000000006E-2</v>
      </c>
      <c r="R123" s="14">
        <f t="shared" ca="1" si="9"/>
        <v>8.6491021532081588E-2</v>
      </c>
      <c r="S123" s="14">
        <f ca="1">IF(O123&gt;$D$2,0,IF($G$2=Choices!$B$1,-PMT(Q123/12,$D$2-(O123-1),P123),0))</f>
        <v>4.0210403186882981</v>
      </c>
      <c r="T123" s="14">
        <f ca="1">IF(AND($G$2=Choices!$B$2,O123=$D$2),P123,IF(AND($G$2=Choices!$B$2,O123&lt;$D$2),0,S123-R123))</f>
        <v>3.9345492971562166</v>
      </c>
      <c r="U123" s="14">
        <f t="shared" ca="1" si="10"/>
        <v>4.0210403186882981</v>
      </c>
      <c r="V123" s="14">
        <f t="shared" ca="1" si="11"/>
        <v>15.910426962594816</v>
      </c>
    </row>
    <row r="124" spans="1:22" x14ac:dyDescent="0.2">
      <c r="A124" s="5">
        <f t="shared" si="6"/>
        <v>117</v>
      </c>
      <c r="B124" s="23"/>
      <c r="C124" s="14">
        <v>15.910426962594769</v>
      </c>
      <c r="D124" s="14">
        <v>6.9356202867777703E-2</v>
      </c>
      <c r="E124" s="14">
        <v>3.951692438502783</v>
      </c>
      <c r="F124" s="14">
        <v>4.0210486413705606</v>
      </c>
      <c r="G124" s="14">
        <v>11.958734524091987</v>
      </c>
      <c r="H124" s="23"/>
      <c r="I124" s="14">
        <v>15.910426962594769</v>
      </c>
      <c r="J124" s="14">
        <v>6.9356202867777703E-2</v>
      </c>
      <c r="K124" s="14">
        <v>3.951692438502783</v>
      </c>
      <c r="L124" s="14">
        <v>4.0210486413705606</v>
      </c>
      <c r="M124" s="14">
        <v>11.958734524091987</v>
      </c>
      <c r="N124" s="23"/>
      <c r="O124" s="5">
        <f t="shared" si="7"/>
        <v>117</v>
      </c>
      <c r="P124" s="15">
        <f t="shared" ca="1" si="8"/>
        <v>15.910426962594816</v>
      </c>
      <c r="Q124" s="5">
        <f ca="1">IF(O124&gt;$D$2,0,IF($F$2=Choices!$A$2,IF(O124&gt;$E$2,OFFSET(LiborCurve!$A$1,O124,0)+$C$2,$B$2),$B$2))</f>
        <v>5.2310000000000002E-2</v>
      </c>
      <c r="R124" s="14">
        <f t="shared" ca="1" si="9"/>
        <v>6.9356202867777897E-2</v>
      </c>
      <c r="S124" s="14">
        <f ca="1">IF(O124&gt;$D$2,0,IF($G$2=Choices!$B$1,-PMT(Q124/12,$D$2-(O124-1),P124),0))</f>
        <v>4.0210486413705704</v>
      </c>
      <c r="T124" s="14">
        <f ca="1">IF(AND($G$2=Choices!$B$2,O124=$D$2),P124,IF(AND($G$2=Choices!$B$2,O124&lt;$D$2),0,S124-R124))</f>
        <v>3.9516924385027923</v>
      </c>
      <c r="U124" s="14">
        <f t="shared" ca="1" si="10"/>
        <v>4.0210486413705704</v>
      </c>
      <c r="V124" s="14">
        <f t="shared" ca="1" si="11"/>
        <v>11.958734524092023</v>
      </c>
    </row>
    <row r="125" spans="1:22" x14ac:dyDescent="0.2">
      <c r="A125" s="5">
        <f t="shared" si="6"/>
        <v>118</v>
      </c>
      <c r="B125" s="23"/>
      <c r="C125" s="14">
        <v>11.958734524091987</v>
      </c>
      <c r="D125" s="14">
        <v>5.2140082525041063E-2</v>
      </c>
      <c r="E125" s="14">
        <v>3.9689152218332882</v>
      </c>
      <c r="F125" s="14">
        <v>4.0210553043583293</v>
      </c>
      <c r="G125" s="14">
        <v>7.9898193022586987</v>
      </c>
      <c r="H125" s="23"/>
      <c r="I125" s="14">
        <v>11.958734524091987</v>
      </c>
      <c r="J125" s="14">
        <v>5.2140082525041063E-2</v>
      </c>
      <c r="K125" s="14">
        <v>3.9689152218332882</v>
      </c>
      <c r="L125" s="14">
        <v>4.0210553043583293</v>
      </c>
      <c r="M125" s="14">
        <v>7.9898193022586987</v>
      </c>
      <c r="N125" s="23"/>
      <c r="O125" s="5">
        <f t="shared" si="7"/>
        <v>118</v>
      </c>
      <c r="P125" s="15">
        <f t="shared" ca="1" si="8"/>
        <v>11.958734524092023</v>
      </c>
      <c r="Q125" s="5">
        <f ca="1">IF(O125&gt;$D$2,0,IF($F$2=Choices!$A$2,IF(O125&gt;$E$2,OFFSET(LiborCurve!$A$1,O125,0)+$C$2,$B$2),$B$2))</f>
        <v>5.2319999999999998E-2</v>
      </c>
      <c r="R125" s="14">
        <f t="shared" ca="1" si="9"/>
        <v>5.2140082525041216E-2</v>
      </c>
      <c r="S125" s="14">
        <f ca="1">IF(O125&gt;$D$2,0,IF($G$2=Choices!$B$1,-PMT(Q125/12,$D$2-(O125-1),P125),0))</f>
        <v>4.0210553043582555</v>
      </c>
      <c r="T125" s="14">
        <f ca="1">IF(AND($G$2=Choices!$B$2,O125=$D$2),P125,IF(AND($G$2=Choices!$B$2,O125&lt;$D$2),0,S125-R125))</f>
        <v>3.9689152218332144</v>
      </c>
      <c r="U125" s="14">
        <f t="shared" ca="1" si="10"/>
        <v>4.0210553043582555</v>
      </c>
      <c r="V125" s="14">
        <f t="shared" ca="1" si="11"/>
        <v>7.9898193022588089</v>
      </c>
    </row>
    <row r="126" spans="1:22" x14ac:dyDescent="0.2">
      <c r="A126" s="5">
        <f t="shared" si="6"/>
        <v>119</v>
      </c>
      <c r="B126" s="23"/>
      <c r="C126" s="14">
        <v>7.9898193022586987</v>
      </c>
      <c r="D126" s="14">
        <v>3.4842270340599807E-2</v>
      </c>
      <c r="E126" s="14">
        <v>3.9862180348891023</v>
      </c>
      <c r="F126" s="14">
        <v>4.0210603052297023</v>
      </c>
      <c r="G126" s="14">
        <v>4.0036012673695964</v>
      </c>
      <c r="H126" s="23"/>
      <c r="I126" s="14">
        <v>7.9898193022586987</v>
      </c>
      <c r="J126" s="14">
        <v>3.4842270340599807E-2</v>
      </c>
      <c r="K126" s="14">
        <v>3.9862180348891023</v>
      </c>
      <c r="L126" s="14">
        <v>4.0210603052297023</v>
      </c>
      <c r="M126" s="14">
        <v>4.0036012673695964</v>
      </c>
      <c r="N126" s="23"/>
      <c r="O126" s="5">
        <f t="shared" si="7"/>
        <v>119</v>
      </c>
      <c r="P126" s="15">
        <f t="shared" ca="1" si="8"/>
        <v>7.9898193022588089</v>
      </c>
      <c r="Q126" s="5">
        <f ca="1">IF(O126&gt;$D$2,0,IF($F$2=Choices!$A$2,IF(O126&gt;$E$2,OFFSET(LiborCurve!$A$1,O126,0)+$C$2,$B$2),$B$2))</f>
        <v>5.2329999999999995E-2</v>
      </c>
      <c r="R126" s="14">
        <f t="shared" ca="1" si="9"/>
        <v>3.4842270340600286E-2</v>
      </c>
      <c r="S126" s="14">
        <f ca="1">IF(O126&gt;$D$2,0,IF($G$2=Choices!$B$1,-PMT(Q126/12,$D$2-(O126-1),P126),0))</f>
        <v>4.0210603052297653</v>
      </c>
      <c r="T126" s="14">
        <f ca="1">IF(AND($G$2=Choices!$B$2,O126=$D$2),P126,IF(AND($G$2=Choices!$B$2,O126&lt;$D$2),0,S126-R126))</f>
        <v>3.9862180348891649</v>
      </c>
      <c r="U126" s="14">
        <f t="shared" ca="1" si="10"/>
        <v>4.0210603052297653</v>
      </c>
      <c r="V126" s="14">
        <f t="shared" ca="1" si="11"/>
        <v>4.0036012673696444</v>
      </c>
    </row>
    <row r="127" spans="1:22" x14ac:dyDescent="0.2">
      <c r="A127" s="5">
        <f t="shared" si="6"/>
        <v>120</v>
      </c>
      <c r="B127" s="23"/>
      <c r="C127" s="14">
        <v>4.0036012673695964</v>
      </c>
      <c r="D127" s="14">
        <v>1.7462374194510393E-2</v>
      </c>
      <c r="E127" s="14">
        <v>4.0036012673696613</v>
      </c>
      <c r="F127" s="14">
        <v>4.0210636415641714</v>
      </c>
      <c r="G127" s="14">
        <v>0</v>
      </c>
      <c r="H127" s="23"/>
      <c r="I127" s="14">
        <v>4.0036012673695964</v>
      </c>
      <c r="J127" s="14">
        <v>1.7462374194510393E-2</v>
      </c>
      <c r="K127" s="14">
        <v>4.0036012673696613</v>
      </c>
      <c r="L127" s="14">
        <v>4.0210636415641714</v>
      </c>
      <c r="M127" s="14">
        <v>0</v>
      </c>
      <c r="N127" s="23"/>
      <c r="O127" s="5">
        <f t="shared" si="7"/>
        <v>120</v>
      </c>
      <c r="P127" s="15">
        <f t="shared" ca="1" si="8"/>
        <v>4.0036012673696444</v>
      </c>
      <c r="Q127" s="5">
        <f ca="1">IF(O127&gt;$D$2,0,IF($F$2=Choices!$A$2,IF(O127&gt;$E$2,OFFSET(LiborCurve!$A$1,O127,0)+$C$2,$B$2),$B$2))</f>
        <v>5.2340000000000005E-2</v>
      </c>
      <c r="R127" s="14">
        <f t="shared" ca="1" si="9"/>
        <v>1.7462374194510601E-2</v>
      </c>
      <c r="S127" s="14">
        <f ca="1">IF(O127&gt;$D$2,0,IF($G$2=Choices!$B$1,-PMT(Q127/12,$D$2-(O127-1),P127),0))</f>
        <v>4.0210636415641536</v>
      </c>
      <c r="T127" s="14">
        <f ca="1">IF(AND($G$2=Choices!$B$2,O127=$D$2),P127,IF(AND($G$2=Choices!$B$2,O127&lt;$D$2),0,S127-R127))</f>
        <v>4.0036012673696426</v>
      </c>
      <c r="U127" s="14">
        <f t="shared" ca="1" si="10"/>
        <v>4.0210636415641536</v>
      </c>
      <c r="V127" s="14">
        <f t="shared" ca="1" si="11"/>
        <v>0</v>
      </c>
    </row>
    <row r="128" spans="1:22" x14ac:dyDescent="0.2">
      <c r="A128" s="5">
        <f t="shared" si="6"/>
        <v>121</v>
      </c>
      <c r="B128" s="23"/>
      <c r="C128" s="14">
        <v>0</v>
      </c>
      <c r="D128" s="14">
        <v>0</v>
      </c>
      <c r="E128" s="14">
        <v>0</v>
      </c>
      <c r="F128" s="14">
        <v>0</v>
      </c>
      <c r="G128" s="14">
        <v>0</v>
      </c>
      <c r="H128" s="23"/>
      <c r="I128" s="14">
        <v>0</v>
      </c>
      <c r="J128" s="14">
        <v>0</v>
      </c>
      <c r="K128" s="14">
        <v>0</v>
      </c>
      <c r="L128" s="14">
        <v>0</v>
      </c>
      <c r="M128" s="14">
        <v>0</v>
      </c>
      <c r="N128" s="23"/>
      <c r="O128" s="5">
        <f t="shared" si="7"/>
        <v>121</v>
      </c>
      <c r="P128" s="15">
        <f t="shared" ca="1" si="8"/>
        <v>0</v>
      </c>
      <c r="Q128" s="5">
        <f ca="1">IF(O128&gt;$D$2,0,IF($F$2=Choices!$A$2,IF(O128&gt;$E$2,OFFSET(LiborCurve!$A$1,O128,0)+$C$2,$B$2),$B$2))</f>
        <v>0</v>
      </c>
      <c r="R128" s="14">
        <f t="shared" ca="1" si="9"/>
        <v>0</v>
      </c>
      <c r="S128" s="14">
        <f>IF(O128&gt;$D$2,0,IF($G$2=Choices!$B$1,-PMT(Q128/12,$D$2-(O128-1),P128),0))</f>
        <v>0</v>
      </c>
      <c r="T128" s="14">
        <f ca="1">IF(AND($G$2=Choices!$B$2,O128=$D$2),P128,IF(AND($G$2=Choices!$B$2,O128&lt;$D$2),0,S128-R128))</f>
        <v>0</v>
      </c>
      <c r="U128" s="14">
        <f t="shared" ca="1" si="10"/>
        <v>0</v>
      </c>
      <c r="V128" s="14">
        <f t="shared" ca="1" si="11"/>
        <v>0</v>
      </c>
    </row>
    <row r="129" spans="1:22" x14ac:dyDescent="0.2">
      <c r="A129" s="5">
        <f t="shared" si="6"/>
        <v>122</v>
      </c>
      <c r="B129" s="23"/>
      <c r="C129" s="14">
        <v>0</v>
      </c>
      <c r="D129" s="14">
        <v>0</v>
      </c>
      <c r="E129" s="14">
        <v>0</v>
      </c>
      <c r="F129" s="14">
        <v>0</v>
      </c>
      <c r="G129" s="14">
        <v>0</v>
      </c>
      <c r="H129" s="23"/>
      <c r="I129" s="14">
        <v>0</v>
      </c>
      <c r="J129" s="14">
        <v>0</v>
      </c>
      <c r="K129" s="14">
        <v>0</v>
      </c>
      <c r="L129" s="14">
        <v>0</v>
      </c>
      <c r="M129" s="14">
        <v>0</v>
      </c>
      <c r="N129" s="23"/>
      <c r="O129" s="5">
        <f t="shared" si="7"/>
        <v>122</v>
      </c>
      <c r="P129" s="15">
        <f t="shared" ca="1" si="8"/>
        <v>0</v>
      </c>
      <c r="Q129" s="5">
        <f ca="1">IF(O129&gt;$D$2,0,IF($F$2=Choices!$A$2,IF(O129&gt;$E$2,OFFSET(LiborCurve!$A$1,O129,0)+$C$2,$B$2),$B$2))</f>
        <v>0</v>
      </c>
      <c r="R129" s="14">
        <f t="shared" ca="1" si="9"/>
        <v>0</v>
      </c>
      <c r="S129" s="14">
        <f>IF(O129&gt;$D$2,0,IF($G$2=Choices!$B$1,-PMT(Q129/12,$D$2-(O129-1),P129),0))</f>
        <v>0</v>
      </c>
      <c r="T129" s="14">
        <f ca="1">IF(AND($G$2=Choices!$B$2,O129=$D$2),P129,IF(AND($G$2=Choices!$B$2,O129&lt;$D$2),0,S129-R129))</f>
        <v>0</v>
      </c>
      <c r="U129" s="14">
        <f t="shared" ca="1" si="10"/>
        <v>0</v>
      </c>
      <c r="V129" s="14">
        <f t="shared" ca="1" si="11"/>
        <v>0</v>
      </c>
    </row>
    <row r="130" spans="1:22" x14ac:dyDescent="0.2">
      <c r="A130" s="5">
        <f t="shared" si="6"/>
        <v>123</v>
      </c>
      <c r="B130" s="23"/>
      <c r="C130" s="14">
        <v>0</v>
      </c>
      <c r="D130" s="14">
        <v>0</v>
      </c>
      <c r="E130" s="14">
        <v>0</v>
      </c>
      <c r="F130" s="14">
        <v>0</v>
      </c>
      <c r="G130" s="14">
        <v>0</v>
      </c>
      <c r="H130" s="23"/>
      <c r="I130" s="14">
        <v>0</v>
      </c>
      <c r="J130" s="14">
        <v>0</v>
      </c>
      <c r="K130" s="14">
        <v>0</v>
      </c>
      <c r="L130" s="14">
        <v>0</v>
      </c>
      <c r="M130" s="14">
        <v>0</v>
      </c>
      <c r="N130" s="23"/>
      <c r="O130" s="5">
        <f t="shared" si="7"/>
        <v>123</v>
      </c>
      <c r="P130" s="15">
        <f t="shared" ca="1" si="8"/>
        <v>0</v>
      </c>
      <c r="Q130" s="5">
        <f ca="1">IF(O130&gt;$D$2,0,IF($F$2=Choices!$A$2,IF(O130&gt;$E$2,OFFSET(LiborCurve!$A$1,O130,0)+$C$2,$B$2),$B$2))</f>
        <v>0</v>
      </c>
      <c r="R130" s="14">
        <f t="shared" ca="1" si="9"/>
        <v>0</v>
      </c>
      <c r="S130" s="14">
        <f>IF(O130&gt;$D$2,0,IF($G$2=Choices!$B$1,-PMT(Q130/12,$D$2-(O130-1),P130),0))</f>
        <v>0</v>
      </c>
      <c r="T130" s="14">
        <f ca="1">IF(AND($G$2=Choices!$B$2,O130=$D$2),P130,IF(AND($G$2=Choices!$B$2,O130&lt;$D$2),0,S130-R130))</f>
        <v>0</v>
      </c>
      <c r="U130" s="14">
        <f t="shared" ca="1" si="10"/>
        <v>0</v>
      </c>
      <c r="V130" s="14">
        <f t="shared" ca="1" si="11"/>
        <v>0</v>
      </c>
    </row>
    <row r="131" spans="1:22" x14ac:dyDescent="0.2">
      <c r="A131" s="5">
        <f t="shared" si="6"/>
        <v>124</v>
      </c>
      <c r="B131" s="23"/>
      <c r="C131" s="14">
        <v>0</v>
      </c>
      <c r="D131" s="14">
        <v>0</v>
      </c>
      <c r="E131" s="14">
        <v>0</v>
      </c>
      <c r="F131" s="14">
        <v>0</v>
      </c>
      <c r="G131" s="14">
        <v>0</v>
      </c>
      <c r="H131" s="23"/>
      <c r="I131" s="14">
        <v>0</v>
      </c>
      <c r="J131" s="14">
        <v>0</v>
      </c>
      <c r="K131" s="14">
        <v>0</v>
      </c>
      <c r="L131" s="14">
        <v>0</v>
      </c>
      <c r="M131" s="14">
        <v>0</v>
      </c>
      <c r="N131" s="23"/>
      <c r="O131" s="5">
        <f t="shared" si="7"/>
        <v>124</v>
      </c>
      <c r="P131" s="15">
        <f t="shared" ca="1" si="8"/>
        <v>0</v>
      </c>
      <c r="Q131" s="5">
        <f ca="1">IF(O131&gt;$D$2,0,IF($F$2=Choices!$A$2,IF(O131&gt;$E$2,OFFSET(LiborCurve!$A$1,O131,0)+$C$2,$B$2),$B$2))</f>
        <v>0</v>
      </c>
      <c r="R131" s="14">
        <f t="shared" ca="1" si="9"/>
        <v>0</v>
      </c>
      <c r="S131" s="14">
        <f>IF(O131&gt;$D$2,0,IF($G$2=Choices!$B$1,-PMT(Q131/12,$D$2-(O131-1),P131),0))</f>
        <v>0</v>
      </c>
      <c r="T131" s="14">
        <f ca="1">IF(AND($G$2=Choices!$B$2,O131=$D$2),P131,IF(AND($G$2=Choices!$B$2,O131&lt;$D$2),0,S131-R131))</f>
        <v>0</v>
      </c>
      <c r="U131" s="14">
        <f t="shared" ca="1" si="10"/>
        <v>0</v>
      </c>
      <c r="V131" s="14">
        <f t="shared" ca="1" si="11"/>
        <v>0</v>
      </c>
    </row>
    <row r="132" spans="1:22" x14ac:dyDescent="0.2">
      <c r="A132" s="5">
        <f t="shared" si="6"/>
        <v>125</v>
      </c>
      <c r="B132" s="23"/>
      <c r="C132" s="14">
        <v>0</v>
      </c>
      <c r="D132" s="14">
        <v>0</v>
      </c>
      <c r="E132" s="14">
        <v>0</v>
      </c>
      <c r="F132" s="14">
        <v>0</v>
      </c>
      <c r="G132" s="14">
        <v>0</v>
      </c>
      <c r="H132" s="23"/>
      <c r="I132" s="14">
        <v>0</v>
      </c>
      <c r="J132" s="14">
        <v>0</v>
      </c>
      <c r="K132" s="14">
        <v>0</v>
      </c>
      <c r="L132" s="14">
        <v>0</v>
      </c>
      <c r="M132" s="14">
        <v>0</v>
      </c>
      <c r="N132" s="23"/>
      <c r="O132" s="5">
        <f t="shared" si="7"/>
        <v>125</v>
      </c>
      <c r="P132" s="15">
        <f t="shared" ca="1" si="8"/>
        <v>0</v>
      </c>
      <c r="Q132" s="5">
        <f ca="1">IF(O132&gt;$D$2,0,IF($F$2=Choices!$A$2,IF(O132&gt;$E$2,OFFSET(LiborCurve!$A$1,O132,0)+$C$2,$B$2),$B$2))</f>
        <v>0</v>
      </c>
      <c r="R132" s="14">
        <f t="shared" ca="1" si="9"/>
        <v>0</v>
      </c>
      <c r="S132" s="14">
        <f>IF(O132&gt;$D$2,0,IF($G$2=Choices!$B$1,-PMT(Q132/12,$D$2-(O132-1),P132),0))</f>
        <v>0</v>
      </c>
      <c r="T132" s="14">
        <f ca="1">IF(AND($G$2=Choices!$B$2,O132=$D$2),P132,IF(AND($G$2=Choices!$B$2,O132&lt;$D$2),0,S132-R132))</f>
        <v>0</v>
      </c>
      <c r="U132" s="14">
        <f t="shared" ca="1" si="10"/>
        <v>0</v>
      </c>
      <c r="V132" s="14">
        <f t="shared" ca="1" si="11"/>
        <v>0</v>
      </c>
    </row>
    <row r="133" spans="1:22" x14ac:dyDescent="0.2">
      <c r="A133" s="5">
        <f t="shared" si="6"/>
        <v>126</v>
      </c>
      <c r="B133" s="23"/>
      <c r="C133" s="14">
        <v>0</v>
      </c>
      <c r="D133" s="14">
        <v>0</v>
      </c>
      <c r="E133" s="14">
        <v>0</v>
      </c>
      <c r="F133" s="14">
        <v>0</v>
      </c>
      <c r="G133" s="14">
        <v>0</v>
      </c>
      <c r="H133" s="23"/>
      <c r="I133" s="14">
        <v>0</v>
      </c>
      <c r="J133" s="14">
        <v>0</v>
      </c>
      <c r="K133" s="14">
        <v>0</v>
      </c>
      <c r="L133" s="14">
        <v>0</v>
      </c>
      <c r="M133" s="14">
        <v>0</v>
      </c>
      <c r="N133" s="23"/>
      <c r="O133" s="5">
        <f t="shared" si="7"/>
        <v>126</v>
      </c>
      <c r="P133" s="15">
        <f t="shared" ca="1" si="8"/>
        <v>0</v>
      </c>
      <c r="Q133" s="5">
        <f ca="1">IF(O133&gt;$D$2,0,IF($F$2=Choices!$A$2,IF(O133&gt;$E$2,OFFSET(LiborCurve!$A$1,O133,0)+$C$2,$B$2),$B$2))</f>
        <v>0</v>
      </c>
      <c r="R133" s="14">
        <f t="shared" ca="1" si="9"/>
        <v>0</v>
      </c>
      <c r="S133" s="14">
        <f>IF(O133&gt;$D$2,0,IF($G$2=Choices!$B$1,-PMT(Q133/12,$D$2-(O133-1),P133),0))</f>
        <v>0</v>
      </c>
      <c r="T133" s="14">
        <f ca="1">IF(AND($G$2=Choices!$B$2,O133=$D$2),P133,IF(AND($G$2=Choices!$B$2,O133&lt;$D$2),0,S133-R133))</f>
        <v>0</v>
      </c>
      <c r="U133" s="14">
        <f t="shared" ca="1" si="10"/>
        <v>0</v>
      </c>
      <c r="V133" s="14">
        <f t="shared" ca="1" si="11"/>
        <v>0</v>
      </c>
    </row>
    <row r="134" spans="1:22" x14ac:dyDescent="0.2">
      <c r="A134" s="5">
        <f t="shared" si="6"/>
        <v>127</v>
      </c>
      <c r="B134" s="23"/>
      <c r="C134" s="14">
        <v>0</v>
      </c>
      <c r="D134" s="14">
        <v>0</v>
      </c>
      <c r="E134" s="14">
        <v>0</v>
      </c>
      <c r="F134" s="14">
        <v>0</v>
      </c>
      <c r="G134" s="14">
        <v>0</v>
      </c>
      <c r="H134" s="23"/>
      <c r="I134" s="14">
        <v>0</v>
      </c>
      <c r="J134" s="14">
        <v>0</v>
      </c>
      <c r="K134" s="14">
        <v>0</v>
      </c>
      <c r="L134" s="14">
        <v>0</v>
      </c>
      <c r="M134" s="14">
        <v>0</v>
      </c>
      <c r="N134" s="23"/>
      <c r="O134" s="5">
        <f t="shared" si="7"/>
        <v>127</v>
      </c>
      <c r="P134" s="15">
        <f t="shared" ca="1" si="8"/>
        <v>0</v>
      </c>
      <c r="Q134" s="5">
        <f ca="1">IF(O134&gt;$D$2,0,IF($F$2=Choices!$A$2,IF(O134&gt;$E$2,OFFSET(LiborCurve!$A$1,O134,0)+$C$2,$B$2),$B$2))</f>
        <v>0</v>
      </c>
      <c r="R134" s="14">
        <f t="shared" ca="1" si="9"/>
        <v>0</v>
      </c>
      <c r="S134" s="14">
        <f>IF(O134&gt;$D$2,0,IF($G$2=Choices!$B$1,-PMT(Q134/12,$D$2-(O134-1),P134),0))</f>
        <v>0</v>
      </c>
      <c r="T134" s="14">
        <f ca="1">IF(AND($G$2=Choices!$B$2,O134=$D$2),P134,IF(AND($G$2=Choices!$B$2,O134&lt;$D$2),0,S134-R134))</f>
        <v>0</v>
      </c>
      <c r="U134" s="14">
        <f t="shared" ca="1" si="10"/>
        <v>0</v>
      </c>
      <c r="V134" s="14">
        <f t="shared" ca="1" si="11"/>
        <v>0</v>
      </c>
    </row>
    <row r="135" spans="1:22" x14ac:dyDescent="0.2">
      <c r="A135" s="5">
        <f t="shared" si="6"/>
        <v>128</v>
      </c>
      <c r="B135" s="23"/>
      <c r="C135" s="14">
        <v>0</v>
      </c>
      <c r="D135" s="14">
        <v>0</v>
      </c>
      <c r="E135" s="14">
        <v>0</v>
      </c>
      <c r="F135" s="14">
        <v>0</v>
      </c>
      <c r="G135" s="14">
        <v>0</v>
      </c>
      <c r="H135" s="23"/>
      <c r="I135" s="14">
        <v>0</v>
      </c>
      <c r="J135" s="14">
        <v>0</v>
      </c>
      <c r="K135" s="14">
        <v>0</v>
      </c>
      <c r="L135" s="14">
        <v>0</v>
      </c>
      <c r="M135" s="14">
        <v>0</v>
      </c>
      <c r="N135" s="23"/>
      <c r="O135" s="5">
        <f t="shared" si="7"/>
        <v>128</v>
      </c>
      <c r="P135" s="15">
        <f t="shared" ca="1" si="8"/>
        <v>0</v>
      </c>
      <c r="Q135" s="5">
        <f ca="1">IF(O135&gt;$D$2,0,IF($F$2=Choices!$A$2,IF(O135&gt;$E$2,OFFSET(LiborCurve!$A$1,O135,0)+$C$2,$B$2),$B$2))</f>
        <v>0</v>
      </c>
      <c r="R135" s="14">
        <f t="shared" ca="1" si="9"/>
        <v>0</v>
      </c>
      <c r="S135" s="14">
        <f>IF(O135&gt;$D$2,0,IF($G$2=Choices!$B$1,-PMT(Q135/12,$D$2-(O135-1),P135),0))</f>
        <v>0</v>
      </c>
      <c r="T135" s="14">
        <f ca="1">IF(AND($G$2=Choices!$B$2,O135=$D$2),P135,IF(AND($G$2=Choices!$B$2,O135&lt;$D$2),0,S135-R135))</f>
        <v>0</v>
      </c>
      <c r="U135" s="14">
        <f t="shared" ca="1" si="10"/>
        <v>0</v>
      </c>
      <c r="V135" s="14">
        <f t="shared" ca="1" si="11"/>
        <v>0</v>
      </c>
    </row>
    <row r="136" spans="1:22" x14ac:dyDescent="0.2">
      <c r="A136" s="5">
        <f t="shared" si="6"/>
        <v>129</v>
      </c>
      <c r="B136" s="23"/>
      <c r="C136" s="14">
        <v>0</v>
      </c>
      <c r="D136" s="14">
        <v>0</v>
      </c>
      <c r="E136" s="14">
        <v>0</v>
      </c>
      <c r="F136" s="14">
        <v>0</v>
      </c>
      <c r="G136" s="14">
        <v>0</v>
      </c>
      <c r="H136" s="23"/>
      <c r="I136" s="14">
        <v>0</v>
      </c>
      <c r="J136" s="14">
        <v>0</v>
      </c>
      <c r="K136" s="14">
        <v>0</v>
      </c>
      <c r="L136" s="14">
        <v>0</v>
      </c>
      <c r="M136" s="14">
        <v>0</v>
      </c>
      <c r="N136" s="23"/>
      <c r="O136" s="5">
        <f t="shared" si="7"/>
        <v>129</v>
      </c>
      <c r="P136" s="15">
        <f t="shared" ca="1" si="8"/>
        <v>0</v>
      </c>
      <c r="Q136" s="5">
        <f ca="1">IF(O136&gt;$D$2,0,IF($F$2=Choices!$A$2,IF(O136&gt;$E$2,OFFSET(LiborCurve!$A$1,O136,0)+$C$2,$B$2),$B$2))</f>
        <v>0</v>
      </c>
      <c r="R136" s="14">
        <f t="shared" ca="1" si="9"/>
        <v>0</v>
      </c>
      <c r="S136" s="14">
        <f>IF(O136&gt;$D$2,0,IF($G$2=Choices!$B$1,-PMT(Q136/12,$D$2-(O136-1),P136),0))</f>
        <v>0</v>
      </c>
      <c r="T136" s="14">
        <f ca="1">IF(AND($G$2=Choices!$B$2,O136=$D$2),P136,IF(AND($G$2=Choices!$B$2,O136&lt;$D$2),0,S136-R136))</f>
        <v>0</v>
      </c>
      <c r="U136" s="14">
        <f t="shared" ca="1" si="10"/>
        <v>0</v>
      </c>
      <c r="V136" s="14">
        <f t="shared" ca="1" si="11"/>
        <v>0</v>
      </c>
    </row>
    <row r="137" spans="1:22" x14ac:dyDescent="0.2">
      <c r="A137" s="5">
        <f t="shared" si="6"/>
        <v>130</v>
      </c>
      <c r="B137" s="23"/>
      <c r="C137" s="14">
        <v>0</v>
      </c>
      <c r="D137" s="14">
        <v>0</v>
      </c>
      <c r="E137" s="14">
        <v>0</v>
      </c>
      <c r="F137" s="14">
        <v>0</v>
      </c>
      <c r="G137" s="14">
        <v>0</v>
      </c>
      <c r="H137" s="23"/>
      <c r="I137" s="14">
        <v>0</v>
      </c>
      <c r="J137" s="14">
        <v>0</v>
      </c>
      <c r="K137" s="14">
        <v>0</v>
      </c>
      <c r="L137" s="14">
        <v>0</v>
      </c>
      <c r="M137" s="14">
        <v>0</v>
      </c>
      <c r="N137" s="23"/>
      <c r="O137" s="5">
        <f t="shared" si="7"/>
        <v>130</v>
      </c>
      <c r="P137" s="15">
        <f t="shared" ca="1" si="8"/>
        <v>0</v>
      </c>
      <c r="Q137" s="5">
        <f ca="1">IF(O137&gt;$D$2,0,IF($F$2=Choices!$A$2,IF(O137&gt;$E$2,OFFSET(LiborCurve!$A$1,O137,0)+$C$2,$B$2),$B$2))</f>
        <v>0</v>
      </c>
      <c r="R137" s="14">
        <f t="shared" ca="1" si="9"/>
        <v>0</v>
      </c>
      <c r="S137" s="14">
        <f>IF(O137&gt;$D$2,0,IF($G$2=Choices!$B$1,-PMT(Q137/12,$D$2-(O137-1),P137),0))</f>
        <v>0</v>
      </c>
      <c r="T137" s="14">
        <f ca="1">IF(AND($G$2=Choices!$B$2,O137=$D$2),P137,IF(AND($G$2=Choices!$B$2,O137&lt;$D$2),0,S137-R137))</f>
        <v>0</v>
      </c>
      <c r="U137" s="14">
        <f t="shared" ca="1" si="10"/>
        <v>0</v>
      </c>
      <c r="V137" s="14">
        <f t="shared" ca="1" si="11"/>
        <v>0</v>
      </c>
    </row>
    <row r="138" spans="1:22" x14ac:dyDescent="0.2">
      <c r="A138" s="5">
        <f t="shared" ref="A138:A201" si="12">A137+1</f>
        <v>131</v>
      </c>
      <c r="B138" s="23"/>
      <c r="C138" s="14">
        <v>0</v>
      </c>
      <c r="D138" s="14">
        <v>0</v>
      </c>
      <c r="E138" s="14">
        <v>0</v>
      </c>
      <c r="F138" s="14">
        <v>0</v>
      </c>
      <c r="G138" s="14">
        <v>0</v>
      </c>
      <c r="H138" s="23"/>
      <c r="I138" s="14">
        <v>0</v>
      </c>
      <c r="J138" s="14">
        <v>0</v>
      </c>
      <c r="K138" s="14">
        <v>0</v>
      </c>
      <c r="L138" s="14">
        <v>0</v>
      </c>
      <c r="M138" s="14">
        <v>0</v>
      </c>
      <c r="N138" s="23"/>
      <c r="O138" s="5">
        <f t="shared" ref="O138:O201" si="13">O137+1</f>
        <v>131</v>
      </c>
      <c r="P138" s="15">
        <f t="shared" ref="P138:P201" ca="1" si="14">V137</f>
        <v>0</v>
      </c>
      <c r="Q138" s="5">
        <f ca="1">IF(O138&gt;$D$2,0,IF($F$2=Choices!$A$2,IF(O138&gt;$E$2,OFFSET(LiborCurve!$A$1,O138,0)+$C$2,$B$2),$B$2))</f>
        <v>0</v>
      </c>
      <c r="R138" s="14">
        <f t="shared" ref="R138:R201" ca="1" si="15">P138*Q138/12</f>
        <v>0</v>
      </c>
      <c r="S138" s="14">
        <f>IF(O138&gt;$D$2,0,IF($G$2=Choices!$B$1,-PMT(Q138/12,$D$2-(O138-1),P138),0))</f>
        <v>0</v>
      </c>
      <c r="T138" s="14">
        <f ca="1">IF(AND($G$2=Choices!$B$2,O138=$D$2),P138,IF(AND($G$2=Choices!$B$2,O138&lt;$D$2),0,S138-R138))</f>
        <v>0</v>
      </c>
      <c r="U138" s="14">
        <f t="shared" ref="U138:U201" ca="1" si="16">R138+T138</f>
        <v>0</v>
      </c>
      <c r="V138" s="14">
        <f t="shared" ref="V138:V201" ca="1" si="17">P138-T138</f>
        <v>0</v>
      </c>
    </row>
    <row r="139" spans="1:22" x14ac:dyDescent="0.2">
      <c r="A139" s="5">
        <f t="shared" si="12"/>
        <v>132</v>
      </c>
      <c r="B139" s="23"/>
      <c r="C139" s="14">
        <v>0</v>
      </c>
      <c r="D139" s="14">
        <v>0</v>
      </c>
      <c r="E139" s="14">
        <v>0</v>
      </c>
      <c r="F139" s="14">
        <v>0</v>
      </c>
      <c r="G139" s="14">
        <v>0</v>
      </c>
      <c r="H139" s="23"/>
      <c r="I139" s="14">
        <v>0</v>
      </c>
      <c r="J139" s="14">
        <v>0</v>
      </c>
      <c r="K139" s="14">
        <v>0</v>
      </c>
      <c r="L139" s="14">
        <v>0</v>
      </c>
      <c r="M139" s="14">
        <v>0</v>
      </c>
      <c r="N139" s="23"/>
      <c r="O139" s="5">
        <f t="shared" si="13"/>
        <v>132</v>
      </c>
      <c r="P139" s="15">
        <f t="shared" ca="1" si="14"/>
        <v>0</v>
      </c>
      <c r="Q139" s="5">
        <f ca="1">IF(O139&gt;$D$2,0,IF($F$2=Choices!$A$2,IF(O139&gt;$E$2,OFFSET(LiborCurve!$A$1,O139,0)+$C$2,$B$2),$B$2))</f>
        <v>0</v>
      </c>
      <c r="R139" s="14">
        <f t="shared" ca="1" si="15"/>
        <v>0</v>
      </c>
      <c r="S139" s="14">
        <f>IF(O139&gt;$D$2,0,IF($G$2=Choices!$B$1,-PMT(Q139/12,$D$2-(O139-1),P139),0))</f>
        <v>0</v>
      </c>
      <c r="T139" s="14">
        <f ca="1">IF(AND($G$2=Choices!$B$2,O139=$D$2),P139,IF(AND($G$2=Choices!$B$2,O139&lt;$D$2),0,S139-R139))</f>
        <v>0</v>
      </c>
      <c r="U139" s="14">
        <f t="shared" ca="1" si="16"/>
        <v>0</v>
      </c>
      <c r="V139" s="14">
        <f t="shared" ca="1" si="17"/>
        <v>0</v>
      </c>
    </row>
    <row r="140" spans="1:22" x14ac:dyDescent="0.2">
      <c r="A140" s="5">
        <f t="shared" si="12"/>
        <v>133</v>
      </c>
      <c r="B140" s="23"/>
      <c r="C140" s="14">
        <v>0</v>
      </c>
      <c r="D140" s="14">
        <v>0</v>
      </c>
      <c r="E140" s="14">
        <v>0</v>
      </c>
      <c r="F140" s="14">
        <v>0</v>
      </c>
      <c r="G140" s="14">
        <v>0</v>
      </c>
      <c r="H140" s="23"/>
      <c r="I140" s="14">
        <v>0</v>
      </c>
      <c r="J140" s="14">
        <v>0</v>
      </c>
      <c r="K140" s="14">
        <v>0</v>
      </c>
      <c r="L140" s="14">
        <v>0</v>
      </c>
      <c r="M140" s="14">
        <v>0</v>
      </c>
      <c r="N140" s="23"/>
      <c r="O140" s="5">
        <f t="shared" si="13"/>
        <v>133</v>
      </c>
      <c r="P140" s="15">
        <f t="shared" ca="1" si="14"/>
        <v>0</v>
      </c>
      <c r="Q140" s="5">
        <f ca="1">IF(O140&gt;$D$2,0,IF($F$2=Choices!$A$2,IF(O140&gt;$E$2,OFFSET(LiborCurve!$A$1,O140,0)+$C$2,$B$2),$B$2))</f>
        <v>0</v>
      </c>
      <c r="R140" s="14">
        <f t="shared" ca="1" si="15"/>
        <v>0</v>
      </c>
      <c r="S140" s="14">
        <f>IF(O140&gt;$D$2,0,IF($G$2=Choices!$B$1,-PMT(Q140/12,$D$2-(O140-1),P140),0))</f>
        <v>0</v>
      </c>
      <c r="T140" s="14">
        <f ca="1">IF(AND($G$2=Choices!$B$2,O140=$D$2),P140,IF(AND($G$2=Choices!$B$2,O140&lt;$D$2),0,S140-R140))</f>
        <v>0</v>
      </c>
      <c r="U140" s="14">
        <f t="shared" ca="1" si="16"/>
        <v>0</v>
      </c>
      <c r="V140" s="14">
        <f t="shared" ca="1" si="17"/>
        <v>0</v>
      </c>
    </row>
    <row r="141" spans="1:22" x14ac:dyDescent="0.2">
      <c r="A141" s="5">
        <f t="shared" si="12"/>
        <v>134</v>
      </c>
      <c r="B141" s="23"/>
      <c r="C141" s="14">
        <v>0</v>
      </c>
      <c r="D141" s="14">
        <v>0</v>
      </c>
      <c r="E141" s="14">
        <v>0</v>
      </c>
      <c r="F141" s="14">
        <v>0</v>
      </c>
      <c r="G141" s="14">
        <v>0</v>
      </c>
      <c r="H141" s="23"/>
      <c r="I141" s="14">
        <v>0</v>
      </c>
      <c r="J141" s="14">
        <v>0</v>
      </c>
      <c r="K141" s="14">
        <v>0</v>
      </c>
      <c r="L141" s="14">
        <v>0</v>
      </c>
      <c r="M141" s="14">
        <v>0</v>
      </c>
      <c r="N141" s="23"/>
      <c r="O141" s="5">
        <f t="shared" si="13"/>
        <v>134</v>
      </c>
      <c r="P141" s="15">
        <f t="shared" ca="1" si="14"/>
        <v>0</v>
      </c>
      <c r="Q141" s="5">
        <f ca="1">IF(O141&gt;$D$2,0,IF($F$2=Choices!$A$2,IF(O141&gt;$E$2,OFFSET(LiborCurve!$A$1,O141,0)+$C$2,$B$2),$B$2))</f>
        <v>0</v>
      </c>
      <c r="R141" s="14">
        <f t="shared" ca="1" si="15"/>
        <v>0</v>
      </c>
      <c r="S141" s="14">
        <f>IF(O141&gt;$D$2,0,IF($G$2=Choices!$B$1,-PMT(Q141/12,$D$2-(O141-1),P141),0))</f>
        <v>0</v>
      </c>
      <c r="T141" s="14">
        <f ca="1">IF(AND($G$2=Choices!$B$2,O141=$D$2),P141,IF(AND($G$2=Choices!$B$2,O141&lt;$D$2),0,S141-R141))</f>
        <v>0</v>
      </c>
      <c r="U141" s="14">
        <f t="shared" ca="1" si="16"/>
        <v>0</v>
      </c>
      <c r="V141" s="14">
        <f t="shared" ca="1" si="17"/>
        <v>0</v>
      </c>
    </row>
    <row r="142" spans="1:22" x14ac:dyDescent="0.2">
      <c r="A142" s="5">
        <f t="shared" si="12"/>
        <v>135</v>
      </c>
      <c r="B142" s="23"/>
      <c r="C142" s="14">
        <v>0</v>
      </c>
      <c r="D142" s="14">
        <v>0</v>
      </c>
      <c r="E142" s="14">
        <v>0</v>
      </c>
      <c r="F142" s="14">
        <v>0</v>
      </c>
      <c r="G142" s="14">
        <v>0</v>
      </c>
      <c r="H142" s="23"/>
      <c r="I142" s="14">
        <v>0</v>
      </c>
      <c r="J142" s="14">
        <v>0</v>
      </c>
      <c r="K142" s="14">
        <v>0</v>
      </c>
      <c r="L142" s="14">
        <v>0</v>
      </c>
      <c r="M142" s="14">
        <v>0</v>
      </c>
      <c r="N142" s="23"/>
      <c r="O142" s="5">
        <f t="shared" si="13"/>
        <v>135</v>
      </c>
      <c r="P142" s="15">
        <f t="shared" ca="1" si="14"/>
        <v>0</v>
      </c>
      <c r="Q142" s="5">
        <f ca="1">IF(O142&gt;$D$2,0,IF($F$2=Choices!$A$2,IF(O142&gt;$E$2,OFFSET(LiborCurve!$A$1,O142,0)+$C$2,$B$2),$B$2))</f>
        <v>0</v>
      </c>
      <c r="R142" s="14">
        <f t="shared" ca="1" si="15"/>
        <v>0</v>
      </c>
      <c r="S142" s="14">
        <f>IF(O142&gt;$D$2,0,IF($G$2=Choices!$B$1,-PMT(Q142/12,$D$2-(O142-1),P142),0))</f>
        <v>0</v>
      </c>
      <c r="T142" s="14">
        <f ca="1">IF(AND($G$2=Choices!$B$2,O142=$D$2),P142,IF(AND($G$2=Choices!$B$2,O142&lt;$D$2),0,S142-R142))</f>
        <v>0</v>
      </c>
      <c r="U142" s="14">
        <f t="shared" ca="1" si="16"/>
        <v>0</v>
      </c>
      <c r="V142" s="14">
        <f t="shared" ca="1" si="17"/>
        <v>0</v>
      </c>
    </row>
    <row r="143" spans="1:22" x14ac:dyDescent="0.2">
      <c r="A143" s="5">
        <f t="shared" si="12"/>
        <v>136</v>
      </c>
      <c r="B143" s="23"/>
      <c r="C143" s="14">
        <v>0</v>
      </c>
      <c r="D143" s="14">
        <v>0</v>
      </c>
      <c r="E143" s="14">
        <v>0</v>
      </c>
      <c r="F143" s="14">
        <v>0</v>
      </c>
      <c r="G143" s="14">
        <v>0</v>
      </c>
      <c r="H143" s="23"/>
      <c r="I143" s="14">
        <v>0</v>
      </c>
      <c r="J143" s="14">
        <v>0</v>
      </c>
      <c r="K143" s="14">
        <v>0</v>
      </c>
      <c r="L143" s="14">
        <v>0</v>
      </c>
      <c r="M143" s="14">
        <v>0</v>
      </c>
      <c r="N143" s="23"/>
      <c r="O143" s="5">
        <f t="shared" si="13"/>
        <v>136</v>
      </c>
      <c r="P143" s="15">
        <f t="shared" ca="1" si="14"/>
        <v>0</v>
      </c>
      <c r="Q143" s="5">
        <f ca="1">IF(O143&gt;$D$2,0,IF($F$2=Choices!$A$2,IF(O143&gt;$E$2,OFFSET(LiborCurve!$A$1,O143,0)+$C$2,$B$2),$B$2))</f>
        <v>0</v>
      </c>
      <c r="R143" s="14">
        <f t="shared" ca="1" si="15"/>
        <v>0</v>
      </c>
      <c r="S143" s="14">
        <f>IF(O143&gt;$D$2,0,IF($G$2=Choices!$B$1,-PMT(Q143/12,$D$2-(O143-1),P143),0))</f>
        <v>0</v>
      </c>
      <c r="T143" s="14">
        <f ca="1">IF(AND($G$2=Choices!$B$2,O143=$D$2),P143,IF(AND($G$2=Choices!$B$2,O143&lt;$D$2),0,S143-R143))</f>
        <v>0</v>
      </c>
      <c r="U143" s="14">
        <f t="shared" ca="1" si="16"/>
        <v>0</v>
      </c>
      <c r="V143" s="14">
        <f t="shared" ca="1" si="17"/>
        <v>0</v>
      </c>
    </row>
    <row r="144" spans="1:22" x14ac:dyDescent="0.2">
      <c r="A144" s="5">
        <f t="shared" si="12"/>
        <v>137</v>
      </c>
      <c r="B144" s="23"/>
      <c r="C144" s="14">
        <v>0</v>
      </c>
      <c r="D144" s="14">
        <v>0</v>
      </c>
      <c r="E144" s="14">
        <v>0</v>
      </c>
      <c r="F144" s="14">
        <v>0</v>
      </c>
      <c r="G144" s="14">
        <v>0</v>
      </c>
      <c r="H144" s="23"/>
      <c r="I144" s="14">
        <v>0</v>
      </c>
      <c r="J144" s="14">
        <v>0</v>
      </c>
      <c r="K144" s="14">
        <v>0</v>
      </c>
      <c r="L144" s="14">
        <v>0</v>
      </c>
      <c r="M144" s="14">
        <v>0</v>
      </c>
      <c r="N144" s="23"/>
      <c r="O144" s="5">
        <f t="shared" si="13"/>
        <v>137</v>
      </c>
      <c r="P144" s="15">
        <f t="shared" ca="1" si="14"/>
        <v>0</v>
      </c>
      <c r="Q144" s="5">
        <f ca="1">IF(O144&gt;$D$2,0,IF($F$2=Choices!$A$2,IF(O144&gt;$E$2,OFFSET(LiborCurve!$A$1,O144,0)+$C$2,$B$2),$B$2))</f>
        <v>0</v>
      </c>
      <c r="R144" s="14">
        <f t="shared" ca="1" si="15"/>
        <v>0</v>
      </c>
      <c r="S144" s="14">
        <f>IF(O144&gt;$D$2,0,IF($G$2=Choices!$B$1,-PMT(Q144/12,$D$2-(O144-1),P144),0))</f>
        <v>0</v>
      </c>
      <c r="T144" s="14">
        <f ca="1">IF(AND($G$2=Choices!$B$2,O144=$D$2),P144,IF(AND($G$2=Choices!$B$2,O144&lt;$D$2),0,S144-R144))</f>
        <v>0</v>
      </c>
      <c r="U144" s="14">
        <f t="shared" ca="1" si="16"/>
        <v>0</v>
      </c>
      <c r="V144" s="14">
        <f t="shared" ca="1" si="17"/>
        <v>0</v>
      </c>
    </row>
    <row r="145" spans="1:22" x14ac:dyDescent="0.2">
      <c r="A145" s="5">
        <f t="shared" si="12"/>
        <v>138</v>
      </c>
      <c r="B145" s="23"/>
      <c r="C145" s="14">
        <v>0</v>
      </c>
      <c r="D145" s="14">
        <v>0</v>
      </c>
      <c r="E145" s="14">
        <v>0</v>
      </c>
      <c r="F145" s="14">
        <v>0</v>
      </c>
      <c r="G145" s="14">
        <v>0</v>
      </c>
      <c r="H145" s="23"/>
      <c r="I145" s="14">
        <v>0</v>
      </c>
      <c r="J145" s="14">
        <v>0</v>
      </c>
      <c r="K145" s="14">
        <v>0</v>
      </c>
      <c r="L145" s="14">
        <v>0</v>
      </c>
      <c r="M145" s="14">
        <v>0</v>
      </c>
      <c r="N145" s="23"/>
      <c r="O145" s="5">
        <f t="shared" si="13"/>
        <v>138</v>
      </c>
      <c r="P145" s="15">
        <f t="shared" ca="1" si="14"/>
        <v>0</v>
      </c>
      <c r="Q145" s="5">
        <f ca="1">IF(O145&gt;$D$2,0,IF($F$2=Choices!$A$2,IF(O145&gt;$E$2,OFFSET(LiborCurve!$A$1,O145,0)+$C$2,$B$2),$B$2))</f>
        <v>0</v>
      </c>
      <c r="R145" s="14">
        <f t="shared" ca="1" si="15"/>
        <v>0</v>
      </c>
      <c r="S145" s="14">
        <f>IF(O145&gt;$D$2,0,IF($G$2=Choices!$B$1,-PMT(Q145/12,$D$2-(O145-1),P145),0))</f>
        <v>0</v>
      </c>
      <c r="T145" s="14">
        <f ca="1">IF(AND($G$2=Choices!$B$2,O145=$D$2),P145,IF(AND($G$2=Choices!$B$2,O145&lt;$D$2),0,S145-R145))</f>
        <v>0</v>
      </c>
      <c r="U145" s="14">
        <f t="shared" ca="1" si="16"/>
        <v>0</v>
      </c>
      <c r="V145" s="14">
        <f t="shared" ca="1" si="17"/>
        <v>0</v>
      </c>
    </row>
    <row r="146" spans="1:22" x14ac:dyDescent="0.2">
      <c r="A146" s="5">
        <f t="shared" si="12"/>
        <v>139</v>
      </c>
      <c r="B146" s="23"/>
      <c r="C146" s="14">
        <v>0</v>
      </c>
      <c r="D146" s="14">
        <v>0</v>
      </c>
      <c r="E146" s="14">
        <v>0</v>
      </c>
      <c r="F146" s="14">
        <v>0</v>
      </c>
      <c r="G146" s="14">
        <v>0</v>
      </c>
      <c r="H146" s="23"/>
      <c r="I146" s="14">
        <v>0</v>
      </c>
      <c r="J146" s="14">
        <v>0</v>
      </c>
      <c r="K146" s="14">
        <v>0</v>
      </c>
      <c r="L146" s="14">
        <v>0</v>
      </c>
      <c r="M146" s="14">
        <v>0</v>
      </c>
      <c r="N146" s="23"/>
      <c r="O146" s="5">
        <f t="shared" si="13"/>
        <v>139</v>
      </c>
      <c r="P146" s="15">
        <f t="shared" ca="1" si="14"/>
        <v>0</v>
      </c>
      <c r="Q146" s="5">
        <f ca="1">IF(O146&gt;$D$2,0,IF($F$2=Choices!$A$2,IF(O146&gt;$E$2,OFFSET(LiborCurve!$A$1,O146,0)+$C$2,$B$2),$B$2))</f>
        <v>0</v>
      </c>
      <c r="R146" s="14">
        <f t="shared" ca="1" si="15"/>
        <v>0</v>
      </c>
      <c r="S146" s="14">
        <f>IF(O146&gt;$D$2,0,IF($G$2=Choices!$B$1,-PMT(Q146/12,$D$2-(O146-1),P146),0))</f>
        <v>0</v>
      </c>
      <c r="T146" s="14">
        <f ca="1">IF(AND($G$2=Choices!$B$2,O146=$D$2),P146,IF(AND($G$2=Choices!$B$2,O146&lt;$D$2),0,S146-R146))</f>
        <v>0</v>
      </c>
      <c r="U146" s="14">
        <f t="shared" ca="1" si="16"/>
        <v>0</v>
      </c>
      <c r="V146" s="14">
        <f t="shared" ca="1" si="17"/>
        <v>0</v>
      </c>
    </row>
    <row r="147" spans="1:22" x14ac:dyDescent="0.2">
      <c r="A147" s="5">
        <f t="shared" si="12"/>
        <v>140</v>
      </c>
      <c r="B147" s="23"/>
      <c r="C147" s="14">
        <v>0</v>
      </c>
      <c r="D147" s="14">
        <v>0</v>
      </c>
      <c r="E147" s="14">
        <v>0</v>
      </c>
      <c r="F147" s="14">
        <v>0</v>
      </c>
      <c r="G147" s="14">
        <v>0</v>
      </c>
      <c r="H147" s="23"/>
      <c r="I147" s="14">
        <v>0</v>
      </c>
      <c r="J147" s="14">
        <v>0</v>
      </c>
      <c r="K147" s="14">
        <v>0</v>
      </c>
      <c r="L147" s="14">
        <v>0</v>
      </c>
      <c r="M147" s="14">
        <v>0</v>
      </c>
      <c r="N147" s="23"/>
      <c r="O147" s="5">
        <f t="shared" si="13"/>
        <v>140</v>
      </c>
      <c r="P147" s="15">
        <f t="shared" ca="1" si="14"/>
        <v>0</v>
      </c>
      <c r="Q147" s="5">
        <f ca="1">IF(O147&gt;$D$2,0,IF($F$2=Choices!$A$2,IF(O147&gt;$E$2,OFFSET(LiborCurve!$A$1,O147,0)+$C$2,$B$2),$B$2))</f>
        <v>0</v>
      </c>
      <c r="R147" s="14">
        <f t="shared" ca="1" si="15"/>
        <v>0</v>
      </c>
      <c r="S147" s="14">
        <f>IF(O147&gt;$D$2,0,IF($G$2=Choices!$B$1,-PMT(Q147/12,$D$2-(O147-1),P147),0))</f>
        <v>0</v>
      </c>
      <c r="T147" s="14">
        <f ca="1">IF(AND($G$2=Choices!$B$2,O147=$D$2),P147,IF(AND($G$2=Choices!$B$2,O147&lt;$D$2),0,S147-R147))</f>
        <v>0</v>
      </c>
      <c r="U147" s="14">
        <f t="shared" ca="1" si="16"/>
        <v>0</v>
      </c>
      <c r="V147" s="14">
        <f t="shared" ca="1" si="17"/>
        <v>0</v>
      </c>
    </row>
    <row r="148" spans="1:22" x14ac:dyDescent="0.2">
      <c r="A148" s="5">
        <f t="shared" si="12"/>
        <v>141</v>
      </c>
      <c r="B148" s="23"/>
      <c r="C148" s="14">
        <v>0</v>
      </c>
      <c r="D148" s="14">
        <v>0</v>
      </c>
      <c r="E148" s="14">
        <v>0</v>
      </c>
      <c r="F148" s="14">
        <v>0</v>
      </c>
      <c r="G148" s="14">
        <v>0</v>
      </c>
      <c r="H148" s="23"/>
      <c r="I148" s="14">
        <v>0</v>
      </c>
      <c r="J148" s="14">
        <v>0</v>
      </c>
      <c r="K148" s="14">
        <v>0</v>
      </c>
      <c r="L148" s="14">
        <v>0</v>
      </c>
      <c r="M148" s="14">
        <v>0</v>
      </c>
      <c r="N148" s="23"/>
      <c r="O148" s="5">
        <f t="shared" si="13"/>
        <v>141</v>
      </c>
      <c r="P148" s="15">
        <f t="shared" ca="1" si="14"/>
        <v>0</v>
      </c>
      <c r="Q148" s="5">
        <f ca="1">IF(O148&gt;$D$2,0,IF($F$2=Choices!$A$2,IF(O148&gt;$E$2,OFFSET(LiborCurve!$A$1,O148,0)+$C$2,$B$2),$B$2))</f>
        <v>0</v>
      </c>
      <c r="R148" s="14">
        <f t="shared" ca="1" si="15"/>
        <v>0</v>
      </c>
      <c r="S148" s="14">
        <f>IF(O148&gt;$D$2,0,IF($G$2=Choices!$B$1,-PMT(Q148/12,$D$2-(O148-1),P148),0))</f>
        <v>0</v>
      </c>
      <c r="T148" s="14">
        <f ca="1">IF(AND($G$2=Choices!$B$2,O148=$D$2),P148,IF(AND($G$2=Choices!$B$2,O148&lt;$D$2),0,S148-R148))</f>
        <v>0</v>
      </c>
      <c r="U148" s="14">
        <f t="shared" ca="1" si="16"/>
        <v>0</v>
      </c>
      <c r="V148" s="14">
        <f t="shared" ca="1" si="17"/>
        <v>0</v>
      </c>
    </row>
    <row r="149" spans="1:22" x14ac:dyDescent="0.2">
      <c r="A149" s="5">
        <f t="shared" si="12"/>
        <v>142</v>
      </c>
      <c r="B149" s="23"/>
      <c r="C149" s="14">
        <v>0</v>
      </c>
      <c r="D149" s="14">
        <v>0</v>
      </c>
      <c r="E149" s="14">
        <v>0</v>
      </c>
      <c r="F149" s="14">
        <v>0</v>
      </c>
      <c r="G149" s="14">
        <v>0</v>
      </c>
      <c r="H149" s="23"/>
      <c r="I149" s="14">
        <v>0</v>
      </c>
      <c r="J149" s="14">
        <v>0</v>
      </c>
      <c r="K149" s="14">
        <v>0</v>
      </c>
      <c r="L149" s="14">
        <v>0</v>
      </c>
      <c r="M149" s="14">
        <v>0</v>
      </c>
      <c r="N149" s="23"/>
      <c r="O149" s="5">
        <f t="shared" si="13"/>
        <v>142</v>
      </c>
      <c r="P149" s="15">
        <f t="shared" ca="1" si="14"/>
        <v>0</v>
      </c>
      <c r="Q149" s="5">
        <f ca="1">IF(O149&gt;$D$2,0,IF($F$2=Choices!$A$2,IF(O149&gt;$E$2,OFFSET(LiborCurve!$A$1,O149,0)+$C$2,$B$2),$B$2))</f>
        <v>0</v>
      </c>
      <c r="R149" s="14">
        <f t="shared" ca="1" si="15"/>
        <v>0</v>
      </c>
      <c r="S149" s="14">
        <f>IF(O149&gt;$D$2,0,IF($G$2=Choices!$B$1,-PMT(Q149/12,$D$2-(O149-1),P149),0))</f>
        <v>0</v>
      </c>
      <c r="T149" s="14">
        <f ca="1">IF(AND($G$2=Choices!$B$2,O149=$D$2),P149,IF(AND($G$2=Choices!$B$2,O149&lt;$D$2),0,S149-R149))</f>
        <v>0</v>
      </c>
      <c r="U149" s="14">
        <f t="shared" ca="1" si="16"/>
        <v>0</v>
      </c>
      <c r="V149" s="14">
        <f t="shared" ca="1" si="17"/>
        <v>0</v>
      </c>
    </row>
    <row r="150" spans="1:22" x14ac:dyDescent="0.2">
      <c r="A150" s="5">
        <f t="shared" si="12"/>
        <v>143</v>
      </c>
      <c r="B150" s="23"/>
      <c r="C150" s="14">
        <v>0</v>
      </c>
      <c r="D150" s="14">
        <v>0</v>
      </c>
      <c r="E150" s="14">
        <v>0</v>
      </c>
      <c r="F150" s="14">
        <v>0</v>
      </c>
      <c r="G150" s="14">
        <v>0</v>
      </c>
      <c r="H150" s="23"/>
      <c r="I150" s="14">
        <v>0</v>
      </c>
      <c r="J150" s="14">
        <v>0</v>
      </c>
      <c r="K150" s="14">
        <v>0</v>
      </c>
      <c r="L150" s="14">
        <v>0</v>
      </c>
      <c r="M150" s="14">
        <v>0</v>
      </c>
      <c r="N150" s="23"/>
      <c r="O150" s="5">
        <f t="shared" si="13"/>
        <v>143</v>
      </c>
      <c r="P150" s="15">
        <f t="shared" ca="1" si="14"/>
        <v>0</v>
      </c>
      <c r="Q150" s="5">
        <f ca="1">IF(O150&gt;$D$2,0,IF($F$2=Choices!$A$2,IF(O150&gt;$E$2,OFFSET(LiborCurve!$A$1,O150,0)+$C$2,$B$2),$B$2))</f>
        <v>0</v>
      </c>
      <c r="R150" s="14">
        <f t="shared" ca="1" si="15"/>
        <v>0</v>
      </c>
      <c r="S150" s="14">
        <f>IF(O150&gt;$D$2,0,IF($G$2=Choices!$B$1,-PMT(Q150/12,$D$2-(O150-1),P150),0))</f>
        <v>0</v>
      </c>
      <c r="T150" s="14">
        <f ca="1">IF(AND($G$2=Choices!$B$2,O150=$D$2),P150,IF(AND($G$2=Choices!$B$2,O150&lt;$D$2),0,S150-R150))</f>
        <v>0</v>
      </c>
      <c r="U150" s="14">
        <f t="shared" ca="1" si="16"/>
        <v>0</v>
      </c>
      <c r="V150" s="14">
        <f t="shared" ca="1" si="17"/>
        <v>0</v>
      </c>
    </row>
    <row r="151" spans="1:22" x14ac:dyDescent="0.2">
      <c r="A151" s="5">
        <f t="shared" si="12"/>
        <v>144</v>
      </c>
      <c r="B151" s="23"/>
      <c r="C151" s="14">
        <v>0</v>
      </c>
      <c r="D151" s="14">
        <v>0</v>
      </c>
      <c r="E151" s="14">
        <v>0</v>
      </c>
      <c r="F151" s="14">
        <v>0</v>
      </c>
      <c r="G151" s="14">
        <v>0</v>
      </c>
      <c r="H151" s="23"/>
      <c r="I151" s="14">
        <v>0</v>
      </c>
      <c r="J151" s="14">
        <v>0</v>
      </c>
      <c r="K151" s="14">
        <v>0</v>
      </c>
      <c r="L151" s="14">
        <v>0</v>
      </c>
      <c r="M151" s="14">
        <v>0</v>
      </c>
      <c r="N151" s="23"/>
      <c r="O151" s="5">
        <f t="shared" si="13"/>
        <v>144</v>
      </c>
      <c r="P151" s="15">
        <f t="shared" ca="1" si="14"/>
        <v>0</v>
      </c>
      <c r="Q151" s="5">
        <f ca="1">IF(O151&gt;$D$2,0,IF($F$2=Choices!$A$2,IF(O151&gt;$E$2,OFFSET(LiborCurve!$A$1,O151,0)+$C$2,$B$2),$B$2))</f>
        <v>0</v>
      </c>
      <c r="R151" s="14">
        <f t="shared" ca="1" si="15"/>
        <v>0</v>
      </c>
      <c r="S151" s="14">
        <f>IF(O151&gt;$D$2,0,IF($G$2=Choices!$B$1,-PMT(Q151/12,$D$2-(O151-1),P151),0))</f>
        <v>0</v>
      </c>
      <c r="T151" s="14">
        <f ca="1">IF(AND($G$2=Choices!$B$2,O151=$D$2),P151,IF(AND($G$2=Choices!$B$2,O151&lt;$D$2),0,S151-R151))</f>
        <v>0</v>
      </c>
      <c r="U151" s="14">
        <f t="shared" ca="1" si="16"/>
        <v>0</v>
      </c>
      <c r="V151" s="14">
        <f t="shared" ca="1" si="17"/>
        <v>0</v>
      </c>
    </row>
    <row r="152" spans="1:22" x14ac:dyDescent="0.2">
      <c r="A152" s="5">
        <f t="shared" si="12"/>
        <v>145</v>
      </c>
      <c r="B152" s="23"/>
      <c r="C152" s="14">
        <v>0</v>
      </c>
      <c r="D152" s="14">
        <v>0</v>
      </c>
      <c r="E152" s="14">
        <v>0</v>
      </c>
      <c r="F152" s="14">
        <v>0</v>
      </c>
      <c r="G152" s="14">
        <v>0</v>
      </c>
      <c r="H152" s="23"/>
      <c r="I152" s="14">
        <v>0</v>
      </c>
      <c r="J152" s="14">
        <v>0</v>
      </c>
      <c r="K152" s="14">
        <v>0</v>
      </c>
      <c r="L152" s="14">
        <v>0</v>
      </c>
      <c r="M152" s="14">
        <v>0</v>
      </c>
      <c r="N152" s="23"/>
      <c r="O152" s="5">
        <f t="shared" si="13"/>
        <v>145</v>
      </c>
      <c r="P152" s="15">
        <f t="shared" ca="1" si="14"/>
        <v>0</v>
      </c>
      <c r="Q152" s="5">
        <f ca="1">IF(O152&gt;$D$2,0,IF($F$2=Choices!$A$2,IF(O152&gt;$E$2,OFFSET(LiborCurve!$A$1,O152,0)+$C$2,$B$2),$B$2))</f>
        <v>0</v>
      </c>
      <c r="R152" s="14">
        <f t="shared" ca="1" si="15"/>
        <v>0</v>
      </c>
      <c r="S152" s="14">
        <f>IF(O152&gt;$D$2,0,IF($G$2=Choices!$B$1,-PMT(Q152/12,$D$2-(O152-1),P152),0))</f>
        <v>0</v>
      </c>
      <c r="T152" s="14">
        <f ca="1">IF(AND($G$2=Choices!$B$2,O152=$D$2),P152,IF(AND($G$2=Choices!$B$2,O152&lt;$D$2),0,S152-R152))</f>
        <v>0</v>
      </c>
      <c r="U152" s="14">
        <f t="shared" ca="1" si="16"/>
        <v>0</v>
      </c>
      <c r="V152" s="14">
        <f t="shared" ca="1" si="17"/>
        <v>0</v>
      </c>
    </row>
    <row r="153" spans="1:22" x14ac:dyDescent="0.2">
      <c r="A153" s="5">
        <f t="shared" si="12"/>
        <v>146</v>
      </c>
      <c r="B153" s="23"/>
      <c r="C153" s="14">
        <v>0</v>
      </c>
      <c r="D153" s="14">
        <v>0</v>
      </c>
      <c r="E153" s="14">
        <v>0</v>
      </c>
      <c r="F153" s="14">
        <v>0</v>
      </c>
      <c r="G153" s="14">
        <v>0</v>
      </c>
      <c r="H153" s="23"/>
      <c r="I153" s="14">
        <v>0</v>
      </c>
      <c r="J153" s="14">
        <v>0</v>
      </c>
      <c r="K153" s="14">
        <v>0</v>
      </c>
      <c r="L153" s="14">
        <v>0</v>
      </c>
      <c r="M153" s="14">
        <v>0</v>
      </c>
      <c r="N153" s="23"/>
      <c r="O153" s="5">
        <f t="shared" si="13"/>
        <v>146</v>
      </c>
      <c r="P153" s="15">
        <f t="shared" ca="1" si="14"/>
        <v>0</v>
      </c>
      <c r="Q153" s="5">
        <f ca="1">IF(O153&gt;$D$2,0,IF($F$2=Choices!$A$2,IF(O153&gt;$E$2,OFFSET(LiborCurve!$A$1,O153,0)+$C$2,$B$2),$B$2))</f>
        <v>0</v>
      </c>
      <c r="R153" s="14">
        <f t="shared" ca="1" si="15"/>
        <v>0</v>
      </c>
      <c r="S153" s="14">
        <f>IF(O153&gt;$D$2,0,IF($G$2=Choices!$B$1,-PMT(Q153/12,$D$2-(O153-1),P153),0))</f>
        <v>0</v>
      </c>
      <c r="T153" s="14">
        <f ca="1">IF(AND($G$2=Choices!$B$2,O153=$D$2),P153,IF(AND($G$2=Choices!$B$2,O153&lt;$D$2),0,S153-R153))</f>
        <v>0</v>
      </c>
      <c r="U153" s="14">
        <f t="shared" ca="1" si="16"/>
        <v>0</v>
      </c>
      <c r="V153" s="14">
        <f t="shared" ca="1" si="17"/>
        <v>0</v>
      </c>
    </row>
    <row r="154" spans="1:22" x14ac:dyDescent="0.2">
      <c r="A154" s="5">
        <f t="shared" si="12"/>
        <v>147</v>
      </c>
      <c r="B154" s="23"/>
      <c r="C154" s="14">
        <v>0</v>
      </c>
      <c r="D154" s="14">
        <v>0</v>
      </c>
      <c r="E154" s="14">
        <v>0</v>
      </c>
      <c r="F154" s="14">
        <v>0</v>
      </c>
      <c r="G154" s="14">
        <v>0</v>
      </c>
      <c r="H154" s="23"/>
      <c r="I154" s="14">
        <v>0</v>
      </c>
      <c r="J154" s="14">
        <v>0</v>
      </c>
      <c r="K154" s="14">
        <v>0</v>
      </c>
      <c r="L154" s="14">
        <v>0</v>
      </c>
      <c r="M154" s="14">
        <v>0</v>
      </c>
      <c r="N154" s="23"/>
      <c r="O154" s="5">
        <f t="shared" si="13"/>
        <v>147</v>
      </c>
      <c r="P154" s="15">
        <f t="shared" ca="1" si="14"/>
        <v>0</v>
      </c>
      <c r="Q154" s="5">
        <f ca="1">IF(O154&gt;$D$2,0,IF($F$2=Choices!$A$2,IF(O154&gt;$E$2,OFFSET(LiborCurve!$A$1,O154,0)+$C$2,$B$2),$B$2))</f>
        <v>0</v>
      </c>
      <c r="R154" s="14">
        <f t="shared" ca="1" si="15"/>
        <v>0</v>
      </c>
      <c r="S154" s="14">
        <f>IF(O154&gt;$D$2,0,IF($G$2=Choices!$B$1,-PMT(Q154/12,$D$2-(O154-1),P154),0))</f>
        <v>0</v>
      </c>
      <c r="T154" s="14">
        <f ca="1">IF(AND($G$2=Choices!$B$2,O154=$D$2),P154,IF(AND($G$2=Choices!$B$2,O154&lt;$D$2),0,S154-R154))</f>
        <v>0</v>
      </c>
      <c r="U154" s="14">
        <f t="shared" ca="1" si="16"/>
        <v>0</v>
      </c>
      <c r="V154" s="14">
        <f t="shared" ca="1" si="17"/>
        <v>0</v>
      </c>
    </row>
    <row r="155" spans="1:22" x14ac:dyDescent="0.2">
      <c r="A155" s="5">
        <f t="shared" si="12"/>
        <v>148</v>
      </c>
      <c r="B155" s="23"/>
      <c r="C155" s="14">
        <v>0</v>
      </c>
      <c r="D155" s="14">
        <v>0</v>
      </c>
      <c r="E155" s="14">
        <v>0</v>
      </c>
      <c r="F155" s="14">
        <v>0</v>
      </c>
      <c r="G155" s="14">
        <v>0</v>
      </c>
      <c r="H155" s="23"/>
      <c r="I155" s="14">
        <v>0</v>
      </c>
      <c r="J155" s="14">
        <v>0</v>
      </c>
      <c r="K155" s="14">
        <v>0</v>
      </c>
      <c r="L155" s="14">
        <v>0</v>
      </c>
      <c r="M155" s="14">
        <v>0</v>
      </c>
      <c r="N155" s="23"/>
      <c r="O155" s="5">
        <f t="shared" si="13"/>
        <v>148</v>
      </c>
      <c r="P155" s="15">
        <f t="shared" ca="1" si="14"/>
        <v>0</v>
      </c>
      <c r="Q155" s="5">
        <f ca="1">IF(O155&gt;$D$2,0,IF($F$2=Choices!$A$2,IF(O155&gt;$E$2,OFFSET(LiborCurve!$A$1,O155,0)+$C$2,$B$2),$B$2))</f>
        <v>0</v>
      </c>
      <c r="R155" s="14">
        <f t="shared" ca="1" si="15"/>
        <v>0</v>
      </c>
      <c r="S155" s="14">
        <f>IF(O155&gt;$D$2,0,IF($G$2=Choices!$B$1,-PMT(Q155/12,$D$2-(O155-1),P155),0))</f>
        <v>0</v>
      </c>
      <c r="T155" s="14">
        <f ca="1">IF(AND($G$2=Choices!$B$2,O155=$D$2),P155,IF(AND($G$2=Choices!$B$2,O155&lt;$D$2),0,S155-R155))</f>
        <v>0</v>
      </c>
      <c r="U155" s="14">
        <f t="shared" ca="1" si="16"/>
        <v>0</v>
      </c>
      <c r="V155" s="14">
        <f t="shared" ca="1" si="17"/>
        <v>0</v>
      </c>
    </row>
    <row r="156" spans="1:22" x14ac:dyDescent="0.2">
      <c r="A156" s="5">
        <f t="shared" si="12"/>
        <v>149</v>
      </c>
      <c r="B156" s="23"/>
      <c r="C156" s="14">
        <v>0</v>
      </c>
      <c r="D156" s="14">
        <v>0</v>
      </c>
      <c r="E156" s="14">
        <v>0</v>
      </c>
      <c r="F156" s="14">
        <v>0</v>
      </c>
      <c r="G156" s="14">
        <v>0</v>
      </c>
      <c r="H156" s="23"/>
      <c r="I156" s="14">
        <v>0</v>
      </c>
      <c r="J156" s="14">
        <v>0</v>
      </c>
      <c r="K156" s="14">
        <v>0</v>
      </c>
      <c r="L156" s="14">
        <v>0</v>
      </c>
      <c r="M156" s="14">
        <v>0</v>
      </c>
      <c r="N156" s="23"/>
      <c r="O156" s="5">
        <f t="shared" si="13"/>
        <v>149</v>
      </c>
      <c r="P156" s="15">
        <f t="shared" ca="1" si="14"/>
        <v>0</v>
      </c>
      <c r="Q156" s="5">
        <f ca="1">IF(O156&gt;$D$2,0,IF($F$2=Choices!$A$2,IF(O156&gt;$E$2,OFFSET(LiborCurve!$A$1,O156,0)+$C$2,$B$2),$B$2))</f>
        <v>0</v>
      </c>
      <c r="R156" s="14">
        <f t="shared" ca="1" si="15"/>
        <v>0</v>
      </c>
      <c r="S156" s="14">
        <f>IF(O156&gt;$D$2,0,IF($G$2=Choices!$B$1,-PMT(Q156/12,$D$2-(O156-1),P156),0))</f>
        <v>0</v>
      </c>
      <c r="T156" s="14">
        <f ca="1">IF(AND($G$2=Choices!$B$2,O156=$D$2),P156,IF(AND($G$2=Choices!$B$2,O156&lt;$D$2),0,S156-R156))</f>
        <v>0</v>
      </c>
      <c r="U156" s="14">
        <f t="shared" ca="1" si="16"/>
        <v>0</v>
      </c>
      <c r="V156" s="14">
        <f t="shared" ca="1" si="17"/>
        <v>0</v>
      </c>
    </row>
    <row r="157" spans="1:22" x14ac:dyDescent="0.2">
      <c r="A157" s="5">
        <f t="shared" si="12"/>
        <v>150</v>
      </c>
      <c r="B157" s="23"/>
      <c r="C157" s="14">
        <v>0</v>
      </c>
      <c r="D157" s="14">
        <v>0</v>
      </c>
      <c r="E157" s="14">
        <v>0</v>
      </c>
      <c r="F157" s="14">
        <v>0</v>
      </c>
      <c r="G157" s="14">
        <v>0</v>
      </c>
      <c r="H157" s="23"/>
      <c r="I157" s="14">
        <v>0</v>
      </c>
      <c r="J157" s="14">
        <v>0</v>
      </c>
      <c r="K157" s="14">
        <v>0</v>
      </c>
      <c r="L157" s="14">
        <v>0</v>
      </c>
      <c r="M157" s="14">
        <v>0</v>
      </c>
      <c r="N157" s="23"/>
      <c r="O157" s="5">
        <f t="shared" si="13"/>
        <v>150</v>
      </c>
      <c r="P157" s="15">
        <f t="shared" ca="1" si="14"/>
        <v>0</v>
      </c>
      <c r="Q157" s="5">
        <f ca="1">IF(O157&gt;$D$2,0,IF($F$2=Choices!$A$2,IF(O157&gt;$E$2,OFFSET(LiborCurve!$A$1,O157,0)+$C$2,$B$2),$B$2))</f>
        <v>0</v>
      </c>
      <c r="R157" s="14">
        <f t="shared" ca="1" si="15"/>
        <v>0</v>
      </c>
      <c r="S157" s="14">
        <f>IF(O157&gt;$D$2,0,IF($G$2=Choices!$B$1,-PMT(Q157/12,$D$2-(O157-1),P157),0))</f>
        <v>0</v>
      </c>
      <c r="T157" s="14">
        <f ca="1">IF(AND($G$2=Choices!$B$2,O157=$D$2),P157,IF(AND($G$2=Choices!$B$2,O157&lt;$D$2),0,S157-R157))</f>
        <v>0</v>
      </c>
      <c r="U157" s="14">
        <f t="shared" ca="1" si="16"/>
        <v>0</v>
      </c>
      <c r="V157" s="14">
        <f t="shared" ca="1" si="17"/>
        <v>0</v>
      </c>
    </row>
    <row r="158" spans="1:22" x14ac:dyDescent="0.2">
      <c r="A158" s="5">
        <f t="shared" si="12"/>
        <v>151</v>
      </c>
      <c r="B158" s="23"/>
      <c r="C158" s="14">
        <v>0</v>
      </c>
      <c r="D158" s="14">
        <v>0</v>
      </c>
      <c r="E158" s="14">
        <v>0</v>
      </c>
      <c r="F158" s="14">
        <v>0</v>
      </c>
      <c r="G158" s="14">
        <v>0</v>
      </c>
      <c r="H158" s="23"/>
      <c r="I158" s="14">
        <v>0</v>
      </c>
      <c r="J158" s="14">
        <v>0</v>
      </c>
      <c r="K158" s="14">
        <v>0</v>
      </c>
      <c r="L158" s="14">
        <v>0</v>
      </c>
      <c r="M158" s="14">
        <v>0</v>
      </c>
      <c r="N158" s="23"/>
      <c r="O158" s="5">
        <f t="shared" si="13"/>
        <v>151</v>
      </c>
      <c r="P158" s="15">
        <f t="shared" ca="1" si="14"/>
        <v>0</v>
      </c>
      <c r="Q158" s="5">
        <f ca="1">IF(O158&gt;$D$2,0,IF($F$2=Choices!$A$2,IF(O158&gt;$E$2,OFFSET(LiborCurve!$A$1,O158,0)+$C$2,$B$2),$B$2))</f>
        <v>0</v>
      </c>
      <c r="R158" s="14">
        <f t="shared" ca="1" si="15"/>
        <v>0</v>
      </c>
      <c r="S158" s="14">
        <f>IF(O158&gt;$D$2,0,IF($G$2=Choices!$B$1,-PMT(Q158/12,$D$2-(O158-1),P158),0))</f>
        <v>0</v>
      </c>
      <c r="T158" s="14">
        <f ca="1">IF(AND($G$2=Choices!$B$2,O158=$D$2),P158,IF(AND($G$2=Choices!$B$2,O158&lt;$D$2),0,S158-R158))</f>
        <v>0</v>
      </c>
      <c r="U158" s="14">
        <f t="shared" ca="1" si="16"/>
        <v>0</v>
      </c>
      <c r="V158" s="14">
        <f t="shared" ca="1" si="17"/>
        <v>0</v>
      </c>
    </row>
    <row r="159" spans="1:22" x14ac:dyDescent="0.2">
      <c r="A159" s="5">
        <f t="shared" si="12"/>
        <v>152</v>
      </c>
      <c r="B159" s="23"/>
      <c r="C159" s="14">
        <v>0</v>
      </c>
      <c r="D159" s="14">
        <v>0</v>
      </c>
      <c r="E159" s="14">
        <v>0</v>
      </c>
      <c r="F159" s="14">
        <v>0</v>
      </c>
      <c r="G159" s="14">
        <v>0</v>
      </c>
      <c r="H159" s="23"/>
      <c r="I159" s="14">
        <v>0</v>
      </c>
      <c r="J159" s="14">
        <v>0</v>
      </c>
      <c r="K159" s="14">
        <v>0</v>
      </c>
      <c r="L159" s="14">
        <v>0</v>
      </c>
      <c r="M159" s="14">
        <v>0</v>
      </c>
      <c r="N159" s="23"/>
      <c r="O159" s="5">
        <f t="shared" si="13"/>
        <v>152</v>
      </c>
      <c r="P159" s="15">
        <f t="shared" ca="1" si="14"/>
        <v>0</v>
      </c>
      <c r="Q159" s="5">
        <f ca="1">IF(O159&gt;$D$2,0,IF($F$2=Choices!$A$2,IF(O159&gt;$E$2,OFFSET(LiborCurve!$A$1,O159,0)+$C$2,$B$2),$B$2))</f>
        <v>0</v>
      </c>
      <c r="R159" s="14">
        <f t="shared" ca="1" si="15"/>
        <v>0</v>
      </c>
      <c r="S159" s="14">
        <f>IF(O159&gt;$D$2,0,IF($G$2=Choices!$B$1,-PMT(Q159/12,$D$2-(O159-1),P159),0))</f>
        <v>0</v>
      </c>
      <c r="T159" s="14">
        <f ca="1">IF(AND($G$2=Choices!$B$2,O159=$D$2),P159,IF(AND($G$2=Choices!$B$2,O159&lt;$D$2),0,S159-R159))</f>
        <v>0</v>
      </c>
      <c r="U159" s="14">
        <f t="shared" ca="1" si="16"/>
        <v>0</v>
      </c>
      <c r="V159" s="14">
        <f t="shared" ca="1" si="17"/>
        <v>0</v>
      </c>
    </row>
    <row r="160" spans="1:22" x14ac:dyDescent="0.2">
      <c r="A160" s="5">
        <f t="shared" si="12"/>
        <v>153</v>
      </c>
      <c r="B160" s="23"/>
      <c r="C160" s="14">
        <v>0</v>
      </c>
      <c r="D160" s="14">
        <v>0</v>
      </c>
      <c r="E160" s="14">
        <v>0</v>
      </c>
      <c r="F160" s="14">
        <v>0</v>
      </c>
      <c r="G160" s="14">
        <v>0</v>
      </c>
      <c r="H160" s="23"/>
      <c r="I160" s="14">
        <v>0</v>
      </c>
      <c r="J160" s="14">
        <v>0</v>
      </c>
      <c r="K160" s="14">
        <v>0</v>
      </c>
      <c r="L160" s="14">
        <v>0</v>
      </c>
      <c r="M160" s="14">
        <v>0</v>
      </c>
      <c r="N160" s="23"/>
      <c r="O160" s="5">
        <f t="shared" si="13"/>
        <v>153</v>
      </c>
      <c r="P160" s="15">
        <f t="shared" ca="1" si="14"/>
        <v>0</v>
      </c>
      <c r="Q160" s="5">
        <f ca="1">IF(O160&gt;$D$2,0,IF($F$2=Choices!$A$2,IF(O160&gt;$E$2,OFFSET(LiborCurve!$A$1,O160,0)+$C$2,$B$2),$B$2))</f>
        <v>0</v>
      </c>
      <c r="R160" s="14">
        <f t="shared" ca="1" si="15"/>
        <v>0</v>
      </c>
      <c r="S160" s="14">
        <f>IF(O160&gt;$D$2,0,IF($G$2=Choices!$B$1,-PMT(Q160/12,$D$2-(O160-1),P160),0))</f>
        <v>0</v>
      </c>
      <c r="T160" s="14">
        <f ca="1">IF(AND($G$2=Choices!$B$2,O160=$D$2),P160,IF(AND($G$2=Choices!$B$2,O160&lt;$D$2),0,S160-R160))</f>
        <v>0</v>
      </c>
      <c r="U160" s="14">
        <f t="shared" ca="1" si="16"/>
        <v>0</v>
      </c>
      <c r="V160" s="14">
        <f t="shared" ca="1" si="17"/>
        <v>0</v>
      </c>
    </row>
    <row r="161" spans="1:22" x14ac:dyDescent="0.2">
      <c r="A161" s="5">
        <f t="shared" si="12"/>
        <v>154</v>
      </c>
      <c r="B161" s="23"/>
      <c r="C161" s="14">
        <v>0</v>
      </c>
      <c r="D161" s="14">
        <v>0</v>
      </c>
      <c r="E161" s="14">
        <v>0</v>
      </c>
      <c r="F161" s="14">
        <v>0</v>
      </c>
      <c r="G161" s="14">
        <v>0</v>
      </c>
      <c r="H161" s="23"/>
      <c r="I161" s="14">
        <v>0</v>
      </c>
      <c r="J161" s="14">
        <v>0</v>
      </c>
      <c r="K161" s="14">
        <v>0</v>
      </c>
      <c r="L161" s="14">
        <v>0</v>
      </c>
      <c r="M161" s="14">
        <v>0</v>
      </c>
      <c r="N161" s="23"/>
      <c r="O161" s="5">
        <f t="shared" si="13"/>
        <v>154</v>
      </c>
      <c r="P161" s="15">
        <f t="shared" ca="1" si="14"/>
        <v>0</v>
      </c>
      <c r="Q161" s="5">
        <f ca="1">IF(O161&gt;$D$2,0,IF($F$2=Choices!$A$2,IF(O161&gt;$E$2,OFFSET(LiborCurve!$A$1,O161,0)+$C$2,$B$2),$B$2))</f>
        <v>0</v>
      </c>
      <c r="R161" s="14">
        <f t="shared" ca="1" si="15"/>
        <v>0</v>
      </c>
      <c r="S161" s="14">
        <f>IF(O161&gt;$D$2,0,IF($G$2=Choices!$B$1,-PMT(Q161/12,$D$2-(O161-1),P161),0))</f>
        <v>0</v>
      </c>
      <c r="T161" s="14">
        <f ca="1">IF(AND($G$2=Choices!$B$2,O161=$D$2),P161,IF(AND($G$2=Choices!$B$2,O161&lt;$D$2),0,S161-R161))</f>
        <v>0</v>
      </c>
      <c r="U161" s="14">
        <f t="shared" ca="1" si="16"/>
        <v>0</v>
      </c>
      <c r="V161" s="14">
        <f t="shared" ca="1" si="17"/>
        <v>0</v>
      </c>
    </row>
    <row r="162" spans="1:22" x14ac:dyDescent="0.2">
      <c r="A162" s="5">
        <f t="shared" si="12"/>
        <v>155</v>
      </c>
      <c r="B162" s="23"/>
      <c r="C162" s="14">
        <v>0</v>
      </c>
      <c r="D162" s="14">
        <v>0</v>
      </c>
      <c r="E162" s="14">
        <v>0</v>
      </c>
      <c r="F162" s="14">
        <v>0</v>
      </c>
      <c r="G162" s="14">
        <v>0</v>
      </c>
      <c r="H162" s="23"/>
      <c r="I162" s="14">
        <v>0</v>
      </c>
      <c r="J162" s="14">
        <v>0</v>
      </c>
      <c r="K162" s="14">
        <v>0</v>
      </c>
      <c r="L162" s="14">
        <v>0</v>
      </c>
      <c r="M162" s="14">
        <v>0</v>
      </c>
      <c r="N162" s="23"/>
      <c r="O162" s="5">
        <f t="shared" si="13"/>
        <v>155</v>
      </c>
      <c r="P162" s="15">
        <f t="shared" ca="1" si="14"/>
        <v>0</v>
      </c>
      <c r="Q162" s="5">
        <f ca="1">IF(O162&gt;$D$2,0,IF($F$2=Choices!$A$2,IF(O162&gt;$E$2,OFFSET(LiborCurve!$A$1,O162,0)+$C$2,$B$2),$B$2))</f>
        <v>0</v>
      </c>
      <c r="R162" s="14">
        <f t="shared" ca="1" si="15"/>
        <v>0</v>
      </c>
      <c r="S162" s="14">
        <f>IF(O162&gt;$D$2,0,IF($G$2=Choices!$B$1,-PMT(Q162/12,$D$2-(O162-1),P162),0))</f>
        <v>0</v>
      </c>
      <c r="T162" s="14">
        <f ca="1">IF(AND($G$2=Choices!$B$2,O162=$D$2),P162,IF(AND($G$2=Choices!$B$2,O162&lt;$D$2),0,S162-R162))</f>
        <v>0</v>
      </c>
      <c r="U162" s="14">
        <f t="shared" ca="1" si="16"/>
        <v>0</v>
      </c>
      <c r="V162" s="14">
        <f t="shared" ca="1" si="17"/>
        <v>0</v>
      </c>
    </row>
    <row r="163" spans="1:22" x14ac:dyDescent="0.2">
      <c r="A163" s="5">
        <f t="shared" si="12"/>
        <v>156</v>
      </c>
      <c r="B163" s="23"/>
      <c r="C163" s="14">
        <v>0</v>
      </c>
      <c r="D163" s="14">
        <v>0</v>
      </c>
      <c r="E163" s="14">
        <v>0</v>
      </c>
      <c r="F163" s="14">
        <v>0</v>
      </c>
      <c r="G163" s="14">
        <v>0</v>
      </c>
      <c r="H163" s="23"/>
      <c r="I163" s="14">
        <v>0</v>
      </c>
      <c r="J163" s="14">
        <v>0</v>
      </c>
      <c r="K163" s="14">
        <v>0</v>
      </c>
      <c r="L163" s="14">
        <v>0</v>
      </c>
      <c r="M163" s="14">
        <v>0</v>
      </c>
      <c r="N163" s="23"/>
      <c r="O163" s="5">
        <f t="shared" si="13"/>
        <v>156</v>
      </c>
      <c r="P163" s="15">
        <f t="shared" ca="1" si="14"/>
        <v>0</v>
      </c>
      <c r="Q163" s="5">
        <f ca="1">IF(O163&gt;$D$2,0,IF($F$2=Choices!$A$2,IF(O163&gt;$E$2,OFFSET(LiborCurve!$A$1,O163,0)+$C$2,$B$2),$B$2))</f>
        <v>0</v>
      </c>
      <c r="R163" s="14">
        <f t="shared" ca="1" si="15"/>
        <v>0</v>
      </c>
      <c r="S163" s="14">
        <f>IF(O163&gt;$D$2,0,IF($G$2=Choices!$B$1,-PMT(Q163/12,$D$2-(O163-1),P163),0))</f>
        <v>0</v>
      </c>
      <c r="T163" s="14">
        <f ca="1">IF(AND($G$2=Choices!$B$2,O163=$D$2),P163,IF(AND($G$2=Choices!$B$2,O163&lt;$D$2),0,S163-R163))</f>
        <v>0</v>
      </c>
      <c r="U163" s="14">
        <f t="shared" ca="1" si="16"/>
        <v>0</v>
      </c>
      <c r="V163" s="14">
        <f t="shared" ca="1" si="17"/>
        <v>0</v>
      </c>
    </row>
    <row r="164" spans="1:22" x14ac:dyDescent="0.2">
      <c r="A164" s="5">
        <f t="shared" si="12"/>
        <v>157</v>
      </c>
      <c r="B164" s="23"/>
      <c r="C164" s="14">
        <v>0</v>
      </c>
      <c r="D164" s="14">
        <v>0</v>
      </c>
      <c r="E164" s="14">
        <v>0</v>
      </c>
      <c r="F164" s="14">
        <v>0</v>
      </c>
      <c r="G164" s="14">
        <v>0</v>
      </c>
      <c r="H164" s="23"/>
      <c r="I164" s="14">
        <v>0</v>
      </c>
      <c r="J164" s="14">
        <v>0</v>
      </c>
      <c r="K164" s="14">
        <v>0</v>
      </c>
      <c r="L164" s="14">
        <v>0</v>
      </c>
      <c r="M164" s="14">
        <v>0</v>
      </c>
      <c r="N164" s="23"/>
      <c r="O164" s="5">
        <f t="shared" si="13"/>
        <v>157</v>
      </c>
      <c r="P164" s="15">
        <f t="shared" ca="1" si="14"/>
        <v>0</v>
      </c>
      <c r="Q164" s="5">
        <f ca="1">IF(O164&gt;$D$2,0,IF($F$2=Choices!$A$2,IF(O164&gt;$E$2,OFFSET(LiborCurve!$A$1,O164,0)+$C$2,$B$2),$B$2))</f>
        <v>0</v>
      </c>
      <c r="R164" s="14">
        <f t="shared" ca="1" si="15"/>
        <v>0</v>
      </c>
      <c r="S164" s="14">
        <f>IF(O164&gt;$D$2,0,IF($G$2=Choices!$B$1,-PMT(Q164/12,$D$2-(O164-1),P164),0))</f>
        <v>0</v>
      </c>
      <c r="T164" s="14">
        <f ca="1">IF(AND($G$2=Choices!$B$2,O164=$D$2),P164,IF(AND($G$2=Choices!$B$2,O164&lt;$D$2),0,S164-R164))</f>
        <v>0</v>
      </c>
      <c r="U164" s="14">
        <f t="shared" ca="1" si="16"/>
        <v>0</v>
      </c>
      <c r="V164" s="14">
        <f t="shared" ca="1" si="17"/>
        <v>0</v>
      </c>
    </row>
    <row r="165" spans="1:22" x14ac:dyDescent="0.2">
      <c r="A165" s="5">
        <f t="shared" si="12"/>
        <v>158</v>
      </c>
      <c r="B165" s="23"/>
      <c r="C165" s="14">
        <v>0</v>
      </c>
      <c r="D165" s="14">
        <v>0</v>
      </c>
      <c r="E165" s="14">
        <v>0</v>
      </c>
      <c r="F165" s="14">
        <v>0</v>
      </c>
      <c r="G165" s="14">
        <v>0</v>
      </c>
      <c r="H165" s="23"/>
      <c r="I165" s="14">
        <v>0</v>
      </c>
      <c r="J165" s="14">
        <v>0</v>
      </c>
      <c r="K165" s="14">
        <v>0</v>
      </c>
      <c r="L165" s="14">
        <v>0</v>
      </c>
      <c r="M165" s="14">
        <v>0</v>
      </c>
      <c r="N165" s="23"/>
      <c r="O165" s="5">
        <f t="shared" si="13"/>
        <v>158</v>
      </c>
      <c r="P165" s="15">
        <f t="shared" ca="1" si="14"/>
        <v>0</v>
      </c>
      <c r="Q165" s="5">
        <f ca="1">IF(O165&gt;$D$2,0,IF($F$2=Choices!$A$2,IF(O165&gt;$E$2,OFFSET(LiborCurve!$A$1,O165,0)+$C$2,$B$2),$B$2))</f>
        <v>0</v>
      </c>
      <c r="R165" s="14">
        <f t="shared" ca="1" si="15"/>
        <v>0</v>
      </c>
      <c r="S165" s="14">
        <f>IF(O165&gt;$D$2,0,IF($G$2=Choices!$B$1,-PMT(Q165/12,$D$2-(O165-1),P165),0))</f>
        <v>0</v>
      </c>
      <c r="T165" s="14">
        <f ca="1">IF(AND($G$2=Choices!$B$2,O165=$D$2),P165,IF(AND($G$2=Choices!$B$2,O165&lt;$D$2),0,S165-R165))</f>
        <v>0</v>
      </c>
      <c r="U165" s="14">
        <f t="shared" ca="1" si="16"/>
        <v>0</v>
      </c>
      <c r="V165" s="14">
        <f t="shared" ca="1" si="17"/>
        <v>0</v>
      </c>
    </row>
    <row r="166" spans="1:22" x14ac:dyDescent="0.2">
      <c r="A166" s="5">
        <f t="shared" si="12"/>
        <v>159</v>
      </c>
      <c r="B166" s="23"/>
      <c r="C166" s="14">
        <v>0</v>
      </c>
      <c r="D166" s="14">
        <v>0</v>
      </c>
      <c r="E166" s="14">
        <v>0</v>
      </c>
      <c r="F166" s="14">
        <v>0</v>
      </c>
      <c r="G166" s="14">
        <v>0</v>
      </c>
      <c r="H166" s="23"/>
      <c r="I166" s="14">
        <v>0</v>
      </c>
      <c r="J166" s="14">
        <v>0</v>
      </c>
      <c r="K166" s="14">
        <v>0</v>
      </c>
      <c r="L166" s="14">
        <v>0</v>
      </c>
      <c r="M166" s="14">
        <v>0</v>
      </c>
      <c r="N166" s="23"/>
      <c r="O166" s="5">
        <f t="shared" si="13"/>
        <v>159</v>
      </c>
      <c r="P166" s="15">
        <f t="shared" ca="1" si="14"/>
        <v>0</v>
      </c>
      <c r="Q166" s="5">
        <f ca="1">IF(O166&gt;$D$2,0,IF($F$2=Choices!$A$2,IF(O166&gt;$E$2,OFFSET(LiborCurve!$A$1,O166,0)+$C$2,$B$2),$B$2))</f>
        <v>0</v>
      </c>
      <c r="R166" s="14">
        <f t="shared" ca="1" si="15"/>
        <v>0</v>
      </c>
      <c r="S166" s="14">
        <f>IF(O166&gt;$D$2,0,IF($G$2=Choices!$B$1,-PMT(Q166/12,$D$2-(O166-1),P166),0))</f>
        <v>0</v>
      </c>
      <c r="T166" s="14">
        <f ca="1">IF(AND($G$2=Choices!$B$2,O166=$D$2),P166,IF(AND($G$2=Choices!$B$2,O166&lt;$D$2),0,S166-R166))</f>
        <v>0</v>
      </c>
      <c r="U166" s="14">
        <f t="shared" ca="1" si="16"/>
        <v>0</v>
      </c>
      <c r="V166" s="14">
        <f t="shared" ca="1" si="17"/>
        <v>0</v>
      </c>
    </row>
    <row r="167" spans="1:22" x14ac:dyDescent="0.2">
      <c r="A167" s="5">
        <f t="shared" si="12"/>
        <v>160</v>
      </c>
      <c r="B167" s="23"/>
      <c r="C167" s="14">
        <v>0</v>
      </c>
      <c r="D167" s="14">
        <v>0</v>
      </c>
      <c r="E167" s="14">
        <v>0</v>
      </c>
      <c r="F167" s="14">
        <v>0</v>
      </c>
      <c r="G167" s="14">
        <v>0</v>
      </c>
      <c r="H167" s="23"/>
      <c r="I167" s="14">
        <v>0</v>
      </c>
      <c r="J167" s="14">
        <v>0</v>
      </c>
      <c r="K167" s="14">
        <v>0</v>
      </c>
      <c r="L167" s="14">
        <v>0</v>
      </c>
      <c r="M167" s="14">
        <v>0</v>
      </c>
      <c r="N167" s="23"/>
      <c r="O167" s="5">
        <f t="shared" si="13"/>
        <v>160</v>
      </c>
      <c r="P167" s="15">
        <f t="shared" ca="1" si="14"/>
        <v>0</v>
      </c>
      <c r="Q167" s="5">
        <f ca="1">IF(O167&gt;$D$2,0,IF($F$2=Choices!$A$2,IF(O167&gt;$E$2,OFFSET(LiborCurve!$A$1,O167,0)+$C$2,$B$2),$B$2))</f>
        <v>0</v>
      </c>
      <c r="R167" s="14">
        <f t="shared" ca="1" si="15"/>
        <v>0</v>
      </c>
      <c r="S167" s="14">
        <f>IF(O167&gt;$D$2,0,IF($G$2=Choices!$B$1,-PMT(Q167/12,$D$2-(O167-1),P167),0))</f>
        <v>0</v>
      </c>
      <c r="T167" s="14">
        <f ca="1">IF(AND($G$2=Choices!$B$2,O167=$D$2),P167,IF(AND($G$2=Choices!$B$2,O167&lt;$D$2),0,S167-R167))</f>
        <v>0</v>
      </c>
      <c r="U167" s="14">
        <f t="shared" ca="1" si="16"/>
        <v>0</v>
      </c>
      <c r="V167" s="14">
        <f t="shared" ca="1" si="17"/>
        <v>0</v>
      </c>
    </row>
    <row r="168" spans="1:22" x14ac:dyDescent="0.2">
      <c r="A168" s="5">
        <f t="shared" si="12"/>
        <v>161</v>
      </c>
      <c r="B168" s="23"/>
      <c r="C168" s="14">
        <v>0</v>
      </c>
      <c r="D168" s="14">
        <v>0</v>
      </c>
      <c r="E168" s="14">
        <v>0</v>
      </c>
      <c r="F168" s="14">
        <v>0</v>
      </c>
      <c r="G168" s="14">
        <v>0</v>
      </c>
      <c r="H168" s="23"/>
      <c r="I168" s="14">
        <v>0</v>
      </c>
      <c r="J168" s="14">
        <v>0</v>
      </c>
      <c r="K168" s="14">
        <v>0</v>
      </c>
      <c r="L168" s="14">
        <v>0</v>
      </c>
      <c r="M168" s="14">
        <v>0</v>
      </c>
      <c r="N168" s="23"/>
      <c r="O168" s="5">
        <f t="shared" si="13"/>
        <v>161</v>
      </c>
      <c r="P168" s="15">
        <f t="shared" ca="1" si="14"/>
        <v>0</v>
      </c>
      <c r="Q168" s="5">
        <f ca="1">IF(O168&gt;$D$2,0,IF($F$2=Choices!$A$2,IF(O168&gt;$E$2,OFFSET(LiborCurve!$A$1,O168,0)+$C$2,$B$2),$B$2))</f>
        <v>0</v>
      </c>
      <c r="R168" s="14">
        <f t="shared" ca="1" si="15"/>
        <v>0</v>
      </c>
      <c r="S168" s="14">
        <f>IF(O168&gt;$D$2,0,IF($G$2=Choices!$B$1,-PMT(Q168/12,$D$2-(O168-1),P168),0))</f>
        <v>0</v>
      </c>
      <c r="T168" s="14">
        <f ca="1">IF(AND($G$2=Choices!$B$2,O168=$D$2),P168,IF(AND($G$2=Choices!$B$2,O168&lt;$D$2),0,S168-R168))</f>
        <v>0</v>
      </c>
      <c r="U168" s="14">
        <f t="shared" ca="1" si="16"/>
        <v>0</v>
      </c>
      <c r="V168" s="14">
        <f t="shared" ca="1" si="17"/>
        <v>0</v>
      </c>
    </row>
    <row r="169" spans="1:22" x14ac:dyDescent="0.2">
      <c r="A169" s="5">
        <f t="shared" si="12"/>
        <v>162</v>
      </c>
      <c r="B169" s="23"/>
      <c r="C169" s="14">
        <v>0</v>
      </c>
      <c r="D169" s="14">
        <v>0</v>
      </c>
      <c r="E169" s="14">
        <v>0</v>
      </c>
      <c r="F169" s="14">
        <v>0</v>
      </c>
      <c r="G169" s="14">
        <v>0</v>
      </c>
      <c r="H169" s="23"/>
      <c r="I169" s="14">
        <v>0</v>
      </c>
      <c r="J169" s="14">
        <v>0</v>
      </c>
      <c r="K169" s="14">
        <v>0</v>
      </c>
      <c r="L169" s="14">
        <v>0</v>
      </c>
      <c r="M169" s="14">
        <v>0</v>
      </c>
      <c r="N169" s="23"/>
      <c r="O169" s="5">
        <f t="shared" si="13"/>
        <v>162</v>
      </c>
      <c r="P169" s="15">
        <f t="shared" ca="1" si="14"/>
        <v>0</v>
      </c>
      <c r="Q169" s="5">
        <f ca="1">IF(O169&gt;$D$2,0,IF($F$2=Choices!$A$2,IF(O169&gt;$E$2,OFFSET(LiborCurve!$A$1,O169,0)+$C$2,$B$2),$B$2))</f>
        <v>0</v>
      </c>
      <c r="R169" s="14">
        <f t="shared" ca="1" si="15"/>
        <v>0</v>
      </c>
      <c r="S169" s="14">
        <f>IF(O169&gt;$D$2,0,IF($G$2=Choices!$B$1,-PMT(Q169/12,$D$2-(O169-1),P169),0))</f>
        <v>0</v>
      </c>
      <c r="T169" s="14">
        <f ca="1">IF(AND($G$2=Choices!$B$2,O169=$D$2),P169,IF(AND($G$2=Choices!$B$2,O169&lt;$D$2),0,S169-R169))</f>
        <v>0</v>
      </c>
      <c r="U169" s="14">
        <f t="shared" ca="1" si="16"/>
        <v>0</v>
      </c>
      <c r="V169" s="14">
        <f t="shared" ca="1" si="17"/>
        <v>0</v>
      </c>
    </row>
    <row r="170" spans="1:22" x14ac:dyDescent="0.2">
      <c r="A170" s="5">
        <f t="shared" si="12"/>
        <v>163</v>
      </c>
      <c r="B170" s="23"/>
      <c r="C170" s="14">
        <v>0</v>
      </c>
      <c r="D170" s="14">
        <v>0</v>
      </c>
      <c r="E170" s="14">
        <v>0</v>
      </c>
      <c r="F170" s="14">
        <v>0</v>
      </c>
      <c r="G170" s="14">
        <v>0</v>
      </c>
      <c r="H170" s="23"/>
      <c r="I170" s="14">
        <v>0</v>
      </c>
      <c r="J170" s="14">
        <v>0</v>
      </c>
      <c r="K170" s="14">
        <v>0</v>
      </c>
      <c r="L170" s="14">
        <v>0</v>
      </c>
      <c r="M170" s="14">
        <v>0</v>
      </c>
      <c r="N170" s="23"/>
      <c r="O170" s="5">
        <f t="shared" si="13"/>
        <v>163</v>
      </c>
      <c r="P170" s="15">
        <f t="shared" ca="1" si="14"/>
        <v>0</v>
      </c>
      <c r="Q170" s="5">
        <f ca="1">IF(O170&gt;$D$2,0,IF($F$2=Choices!$A$2,IF(O170&gt;$E$2,OFFSET(LiborCurve!$A$1,O170,0)+$C$2,$B$2),$B$2))</f>
        <v>0</v>
      </c>
      <c r="R170" s="14">
        <f t="shared" ca="1" si="15"/>
        <v>0</v>
      </c>
      <c r="S170" s="14">
        <f>IF(O170&gt;$D$2,0,IF($G$2=Choices!$B$1,-PMT(Q170/12,$D$2-(O170-1),P170),0))</f>
        <v>0</v>
      </c>
      <c r="T170" s="14">
        <f ca="1">IF(AND($G$2=Choices!$B$2,O170=$D$2),P170,IF(AND($G$2=Choices!$B$2,O170&lt;$D$2),0,S170-R170))</f>
        <v>0</v>
      </c>
      <c r="U170" s="14">
        <f t="shared" ca="1" si="16"/>
        <v>0</v>
      </c>
      <c r="V170" s="14">
        <f t="shared" ca="1" si="17"/>
        <v>0</v>
      </c>
    </row>
    <row r="171" spans="1:22" x14ac:dyDescent="0.2">
      <c r="A171" s="5">
        <f t="shared" si="12"/>
        <v>164</v>
      </c>
      <c r="B171" s="23"/>
      <c r="C171" s="14">
        <v>0</v>
      </c>
      <c r="D171" s="14">
        <v>0</v>
      </c>
      <c r="E171" s="14">
        <v>0</v>
      </c>
      <c r="F171" s="14">
        <v>0</v>
      </c>
      <c r="G171" s="14">
        <v>0</v>
      </c>
      <c r="H171" s="23"/>
      <c r="I171" s="14">
        <v>0</v>
      </c>
      <c r="J171" s="14">
        <v>0</v>
      </c>
      <c r="K171" s="14">
        <v>0</v>
      </c>
      <c r="L171" s="14">
        <v>0</v>
      </c>
      <c r="M171" s="14">
        <v>0</v>
      </c>
      <c r="N171" s="23"/>
      <c r="O171" s="5">
        <f t="shared" si="13"/>
        <v>164</v>
      </c>
      <c r="P171" s="15">
        <f t="shared" ca="1" si="14"/>
        <v>0</v>
      </c>
      <c r="Q171" s="5">
        <f ca="1">IF(O171&gt;$D$2,0,IF($F$2=Choices!$A$2,IF(O171&gt;$E$2,OFFSET(LiborCurve!$A$1,O171,0)+$C$2,$B$2),$B$2))</f>
        <v>0</v>
      </c>
      <c r="R171" s="14">
        <f t="shared" ca="1" si="15"/>
        <v>0</v>
      </c>
      <c r="S171" s="14">
        <f>IF(O171&gt;$D$2,0,IF($G$2=Choices!$B$1,-PMT(Q171/12,$D$2-(O171-1),P171),0))</f>
        <v>0</v>
      </c>
      <c r="T171" s="14">
        <f ca="1">IF(AND($G$2=Choices!$B$2,O171=$D$2),P171,IF(AND($G$2=Choices!$B$2,O171&lt;$D$2),0,S171-R171))</f>
        <v>0</v>
      </c>
      <c r="U171" s="14">
        <f t="shared" ca="1" si="16"/>
        <v>0</v>
      </c>
      <c r="V171" s="14">
        <f t="shared" ca="1" si="17"/>
        <v>0</v>
      </c>
    </row>
    <row r="172" spans="1:22" x14ac:dyDescent="0.2">
      <c r="A172" s="5">
        <f t="shared" si="12"/>
        <v>165</v>
      </c>
      <c r="B172" s="23"/>
      <c r="C172" s="14">
        <v>0</v>
      </c>
      <c r="D172" s="14">
        <v>0</v>
      </c>
      <c r="E172" s="14">
        <v>0</v>
      </c>
      <c r="F172" s="14">
        <v>0</v>
      </c>
      <c r="G172" s="14">
        <v>0</v>
      </c>
      <c r="H172" s="23"/>
      <c r="I172" s="14">
        <v>0</v>
      </c>
      <c r="J172" s="14">
        <v>0</v>
      </c>
      <c r="K172" s="14">
        <v>0</v>
      </c>
      <c r="L172" s="14">
        <v>0</v>
      </c>
      <c r="M172" s="14">
        <v>0</v>
      </c>
      <c r="N172" s="23"/>
      <c r="O172" s="5">
        <f t="shared" si="13"/>
        <v>165</v>
      </c>
      <c r="P172" s="15">
        <f t="shared" ca="1" si="14"/>
        <v>0</v>
      </c>
      <c r="Q172" s="5">
        <f ca="1">IF(O172&gt;$D$2,0,IF($F$2=Choices!$A$2,IF(O172&gt;$E$2,OFFSET(LiborCurve!$A$1,O172,0)+$C$2,$B$2),$B$2))</f>
        <v>0</v>
      </c>
      <c r="R172" s="14">
        <f t="shared" ca="1" si="15"/>
        <v>0</v>
      </c>
      <c r="S172" s="14">
        <f>IF(O172&gt;$D$2,0,IF($G$2=Choices!$B$1,-PMT(Q172/12,$D$2-(O172-1),P172),0))</f>
        <v>0</v>
      </c>
      <c r="T172" s="14">
        <f ca="1">IF(AND($G$2=Choices!$B$2,O172=$D$2),P172,IF(AND($G$2=Choices!$B$2,O172&lt;$D$2),0,S172-R172))</f>
        <v>0</v>
      </c>
      <c r="U172" s="14">
        <f t="shared" ca="1" si="16"/>
        <v>0</v>
      </c>
      <c r="V172" s="14">
        <f t="shared" ca="1" si="17"/>
        <v>0</v>
      </c>
    </row>
    <row r="173" spans="1:22" x14ac:dyDescent="0.2">
      <c r="A173" s="5">
        <f t="shared" si="12"/>
        <v>166</v>
      </c>
      <c r="B173" s="23"/>
      <c r="C173" s="14">
        <v>0</v>
      </c>
      <c r="D173" s="14">
        <v>0</v>
      </c>
      <c r="E173" s="14">
        <v>0</v>
      </c>
      <c r="F173" s="14">
        <v>0</v>
      </c>
      <c r="G173" s="14">
        <v>0</v>
      </c>
      <c r="H173" s="23"/>
      <c r="I173" s="14">
        <v>0</v>
      </c>
      <c r="J173" s="14">
        <v>0</v>
      </c>
      <c r="K173" s="14">
        <v>0</v>
      </c>
      <c r="L173" s="14">
        <v>0</v>
      </c>
      <c r="M173" s="14">
        <v>0</v>
      </c>
      <c r="N173" s="23"/>
      <c r="O173" s="5">
        <f t="shared" si="13"/>
        <v>166</v>
      </c>
      <c r="P173" s="15">
        <f t="shared" ca="1" si="14"/>
        <v>0</v>
      </c>
      <c r="Q173" s="5">
        <f ca="1">IF(O173&gt;$D$2,0,IF($F$2=Choices!$A$2,IF(O173&gt;$E$2,OFFSET(LiborCurve!$A$1,O173,0)+$C$2,$B$2),$B$2))</f>
        <v>0</v>
      </c>
      <c r="R173" s="14">
        <f t="shared" ca="1" si="15"/>
        <v>0</v>
      </c>
      <c r="S173" s="14">
        <f>IF(O173&gt;$D$2,0,IF($G$2=Choices!$B$1,-PMT(Q173/12,$D$2-(O173-1),P173),0))</f>
        <v>0</v>
      </c>
      <c r="T173" s="14">
        <f ca="1">IF(AND($G$2=Choices!$B$2,O173=$D$2),P173,IF(AND($G$2=Choices!$B$2,O173&lt;$D$2),0,S173-R173))</f>
        <v>0</v>
      </c>
      <c r="U173" s="14">
        <f t="shared" ca="1" si="16"/>
        <v>0</v>
      </c>
      <c r="V173" s="14">
        <f t="shared" ca="1" si="17"/>
        <v>0</v>
      </c>
    </row>
    <row r="174" spans="1:22" x14ac:dyDescent="0.2">
      <c r="A174" s="5">
        <f t="shared" si="12"/>
        <v>167</v>
      </c>
      <c r="B174" s="23"/>
      <c r="C174" s="14">
        <v>0</v>
      </c>
      <c r="D174" s="14">
        <v>0</v>
      </c>
      <c r="E174" s="14">
        <v>0</v>
      </c>
      <c r="F174" s="14">
        <v>0</v>
      </c>
      <c r="G174" s="14">
        <v>0</v>
      </c>
      <c r="H174" s="23"/>
      <c r="I174" s="14">
        <v>0</v>
      </c>
      <c r="J174" s="14">
        <v>0</v>
      </c>
      <c r="K174" s="14">
        <v>0</v>
      </c>
      <c r="L174" s="14">
        <v>0</v>
      </c>
      <c r="M174" s="14">
        <v>0</v>
      </c>
      <c r="N174" s="23"/>
      <c r="O174" s="5">
        <f t="shared" si="13"/>
        <v>167</v>
      </c>
      <c r="P174" s="15">
        <f t="shared" ca="1" si="14"/>
        <v>0</v>
      </c>
      <c r="Q174" s="5">
        <f ca="1">IF(O174&gt;$D$2,0,IF($F$2=Choices!$A$2,IF(O174&gt;$E$2,OFFSET(LiborCurve!$A$1,O174,0)+$C$2,$B$2),$B$2))</f>
        <v>0</v>
      </c>
      <c r="R174" s="14">
        <f t="shared" ca="1" si="15"/>
        <v>0</v>
      </c>
      <c r="S174" s="14">
        <f>IF(O174&gt;$D$2,0,IF($G$2=Choices!$B$1,-PMT(Q174/12,$D$2-(O174-1),P174),0))</f>
        <v>0</v>
      </c>
      <c r="T174" s="14">
        <f ca="1">IF(AND($G$2=Choices!$B$2,O174=$D$2),P174,IF(AND($G$2=Choices!$B$2,O174&lt;$D$2),0,S174-R174))</f>
        <v>0</v>
      </c>
      <c r="U174" s="14">
        <f t="shared" ca="1" si="16"/>
        <v>0</v>
      </c>
      <c r="V174" s="14">
        <f t="shared" ca="1" si="17"/>
        <v>0</v>
      </c>
    </row>
    <row r="175" spans="1:22" x14ac:dyDescent="0.2">
      <c r="A175" s="5">
        <f t="shared" si="12"/>
        <v>168</v>
      </c>
      <c r="B175" s="23"/>
      <c r="C175" s="14">
        <v>0</v>
      </c>
      <c r="D175" s="14">
        <v>0</v>
      </c>
      <c r="E175" s="14">
        <v>0</v>
      </c>
      <c r="F175" s="14">
        <v>0</v>
      </c>
      <c r="G175" s="14">
        <v>0</v>
      </c>
      <c r="H175" s="23"/>
      <c r="I175" s="14">
        <v>0</v>
      </c>
      <c r="J175" s="14">
        <v>0</v>
      </c>
      <c r="K175" s="14">
        <v>0</v>
      </c>
      <c r="L175" s="14">
        <v>0</v>
      </c>
      <c r="M175" s="14">
        <v>0</v>
      </c>
      <c r="N175" s="23"/>
      <c r="O175" s="5">
        <f t="shared" si="13"/>
        <v>168</v>
      </c>
      <c r="P175" s="15">
        <f t="shared" ca="1" si="14"/>
        <v>0</v>
      </c>
      <c r="Q175" s="5">
        <f ca="1">IF(O175&gt;$D$2,0,IF($F$2=Choices!$A$2,IF(O175&gt;$E$2,OFFSET(LiborCurve!$A$1,O175,0)+$C$2,$B$2),$B$2))</f>
        <v>0</v>
      </c>
      <c r="R175" s="14">
        <f t="shared" ca="1" si="15"/>
        <v>0</v>
      </c>
      <c r="S175" s="14">
        <f>IF(O175&gt;$D$2,0,IF($G$2=Choices!$B$1,-PMT(Q175/12,$D$2-(O175-1),P175),0))</f>
        <v>0</v>
      </c>
      <c r="T175" s="14">
        <f ca="1">IF(AND($G$2=Choices!$B$2,O175=$D$2),P175,IF(AND($G$2=Choices!$B$2,O175&lt;$D$2),0,S175-R175))</f>
        <v>0</v>
      </c>
      <c r="U175" s="14">
        <f t="shared" ca="1" si="16"/>
        <v>0</v>
      </c>
      <c r="V175" s="14">
        <f t="shared" ca="1" si="17"/>
        <v>0</v>
      </c>
    </row>
    <row r="176" spans="1:22" x14ac:dyDescent="0.2">
      <c r="A176" s="5">
        <f t="shared" si="12"/>
        <v>169</v>
      </c>
      <c r="B176" s="23"/>
      <c r="C176" s="14">
        <v>0</v>
      </c>
      <c r="D176" s="14">
        <v>0</v>
      </c>
      <c r="E176" s="14">
        <v>0</v>
      </c>
      <c r="F176" s="14">
        <v>0</v>
      </c>
      <c r="G176" s="14">
        <v>0</v>
      </c>
      <c r="H176" s="23"/>
      <c r="I176" s="14">
        <v>0</v>
      </c>
      <c r="J176" s="14">
        <v>0</v>
      </c>
      <c r="K176" s="14">
        <v>0</v>
      </c>
      <c r="L176" s="14">
        <v>0</v>
      </c>
      <c r="M176" s="14">
        <v>0</v>
      </c>
      <c r="N176" s="23"/>
      <c r="O176" s="5">
        <f t="shared" si="13"/>
        <v>169</v>
      </c>
      <c r="P176" s="15">
        <f t="shared" ca="1" si="14"/>
        <v>0</v>
      </c>
      <c r="Q176" s="5">
        <f ca="1">IF(O176&gt;$D$2,0,IF($F$2=Choices!$A$2,IF(O176&gt;$E$2,OFFSET(LiborCurve!$A$1,O176,0)+$C$2,$B$2),$B$2))</f>
        <v>0</v>
      </c>
      <c r="R176" s="14">
        <f t="shared" ca="1" si="15"/>
        <v>0</v>
      </c>
      <c r="S176" s="14">
        <f>IF(O176&gt;$D$2,0,IF($G$2=Choices!$B$1,-PMT(Q176/12,$D$2-(O176-1),P176),0))</f>
        <v>0</v>
      </c>
      <c r="T176" s="14">
        <f ca="1">IF(AND($G$2=Choices!$B$2,O176=$D$2),P176,IF(AND($G$2=Choices!$B$2,O176&lt;$D$2),0,S176-R176))</f>
        <v>0</v>
      </c>
      <c r="U176" s="14">
        <f t="shared" ca="1" si="16"/>
        <v>0</v>
      </c>
      <c r="V176" s="14">
        <f t="shared" ca="1" si="17"/>
        <v>0</v>
      </c>
    </row>
    <row r="177" spans="1:22" x14ac:dyDescent="0.2">
      <c r="A177" s="5">
        <f t="shared" si="12"/>
        <v>170</v>
      </c>
      <c r="B177" s="23"/>
      <c r="C177" s="14">
        <v>0</v>
      </c>
      <c r="D177" s="14">
        <v>0</v>
      </c>
      <c r="E177" s="14">
        <v>0</v>
      </c>
      <c r="F177" s="14">
        <v>0</v>
      </c>
      <c r="G177" s="14">
        <v>0</v>
      </c>
      <c r="H177" s="23"/>
      <c r="I177" s="14">
        <v>0</v>
      </c>
      <c r="J177" s="14">
        <v>0</v>
      </c>
      <c r="K177" s="14">
        <v>0</v>
      </c>
      <c r="L177" s="14">
        <v>0</v>
      </c>
      <c r="M177" s="14">
        <v>0</v>
      </c>
      <c r="N177" s="23"/>
      <c r="O177" s="5">
        <f t="shared" si="13"/>
        <v>170</v>
      </c>
      <c r="P177" s="15">
        <f t="shared" ca="1" si="14"/>
        <v>0</v>
      </c>
      <c r="Q177" s="5">
        <f ca="1">IF(O177&gt;$D$2,0,IF($F$2=Choices!$A$2,IF(O177&gt;$E$2,OFFSET(LiborCurve!$A$1,O177,0)+$C$2,$B$2),$B$2))</f>
        <v>0</v>
      </c>
      <c r="R177" s="14">
        <f t="shared" ca="1" si="15"/>
        <v>0</v>
      </c>
      <c r="S177" s="14">
        <f>IF(O177&gt;$D$2,0,IF($G$2=Choices!$B$1,-PMT(Q177/12,$D$2-(O177-1),P177),0))</f>
        <v>0</v>
      </c>
      <c r="T177" s="14">
        <f ca="1">IF(AND($G$2=Choices!$B$2,O177=$D$2),P177,IF(AND($G$2=Choices!$B$2,O177&lt;$D$2),0,S177-R177))</f>
        <v>0</v>
      </c>
      <c r="U177" s="14">
        <f t="shared" ca="1" si="16"/>
        <v>0</v>
      </c>
      <c r="V177" s="14">
        <f t="shared" ca="1" si="17"/>
        <v>0</v>
      </c>
    </row>
    <row r="178" spans="1:22" x14ac:dyDescent="0.2">
      <c r="A178" s="5">
        <f t="shared" si="12"/>
        <v>171</v>
      </c>
      <c r="B178" s="23"/>
      <c r="C178" s="14">
        <v>0</v>
      </c>
      <c r="D178" s="14">
        <v>0</v>
      </c>
      <c r="E178" s="14">
        <v>0</v>
      </c>
      <c r="F178" s="14">
        <v>0</v>
      </c>
      <c r="G178" s="14">
        <v>0</v>
      </c>
      <c r="H178" s="23"/>
      <c r="I178" s="14">
        <v>0</v>
      </c>
      <c r="J178" s="14">
        <v>0</v>
      </c>
      <c r="K178" s="14">
        <v>0</v>
      </c>
      <c r="L178" s="14">
        <v>0</v>
      </c>
      <c r="M178" s="14">
        <v>0</v>
      </c>
      <c r="N178" s="23"/>
      <c r="O178" s="5">
        <f t="shared" si="13"/>
        <v>171</v>
      </c>
      <c r="P178" s="15">
        <f t="shared" ca="1" si="14"/>
        <v>0</v>
      </c>
      <c r="Q178" s="5">
        <f ca="1">IF(O178&gt;$D$2,0,IF($F$2=Choices!$A$2,IF(O178&gt;$E$2,OFFSET(LiborCurve!$A$1,O178,0)+$C$2,$B$2),$B$2))</f>
        <v>0</v>
      </c>
      <c r="R178" s="14">
        <f t="shared" ca="1" si="15"/>
        <v>0</v>
      </c>
      <c r="S178" s="14">
        <f>IF(O178&gt;$D$2,0,IF($G$2=Choices!$B$1,-PMT(Q178/12,$D$2-(O178-1),P178),0))</f>
        <v>0</v>
      </c>
      <c r="T178" s="14">
        <f ca="1">IF(AND($G$2=Choices!$B$2,O178=$D$2),P178,IF(AND($G$2=Choices!$B$2,O178&lt;$D$2),0,S178-R178))</f>
        <v>0</v>
      </c>
      <c r="U178" s="14">
        <f t="shared" ca="1" si="16"/>
        <v>0</v>
      </c>
      <c r="V178" s="14">
        <f t="shared" ca="1" si="17"/>
        <v>0</v>
      </c>
    </row>
    <row r="179" spans="1:22" x14ac:dyDescent="0.2">
      <c r="A179" s="5">
        <f t="shared" si="12"/>
        <v>172</v>
      </c>
      <c r="B179" s="23"/>
      <c r="C179" s="14">
        <v>0</v>
      </c>
      <c r="D179" s="14">
        <v>0</v>
      </c>
      <c r="E179" s="14">
        <v>0</v>
      </c>
      <c r="F179" s="14">
        <v>0</v>
      </c>
      <c r="G179" s="14">
        <v>0</v>
      </c>
      <c r="H179" s="23"/>
      <c r="I179" s="14">
        <v>0</v>
      </c>
      <c r="J179" s="14">
        <v>0</v>
      </c>
      <c r="K179" s="14">
        <v>0</v>
      </c>
      <c r="L179" s="14">
        <v>0</v>
      </c>
      <c r="M179" s="14">
        <v>0</v>
      </c>
      <c r="N179" s="23"/>
      <c r="O179" s="5">
        <f t="shared" si="13"/>
        <v>172</v>
      </c>
      <c r="P179" s="15">
        <f t="shared" ca="1" si="14"/>
        <v>0</v>
      </c>
      <c r="Q179" s="5">
        <f ca="1">IF(O179&gt;$D$2,0,IF($F$2=Choices!$A$2,IF(O179&gt;$E$2,OFFSET(LiborCurve!$A$1,O179,0)+$C$2,$B$2),$B$2))</f>
        <v>0</v>
      </c>
      <c r="R179" s="14">
        <f t="shared" ca="1" si="15"/>
        <v>0</v>
      </c>
      <c r="S179" s="14">
        <f>IF(O179&gt;$D$2,0,IF($G$2=Choices!$B$1,-PMT(Q179/12,$D$2-(O179-1),P179),0))</f>
        <v>0</v>
      </c>
      <c r="T179" s="14">
        <f ca="1">IF(AND($G$2=Choices!$B$2,O179=$D$2),P179,IF(AND($G$2=Choices!$B$2,O179&lt;$D$2),0,S179-R179))</f>
        <v>0</v>
      </c>
      <c r="U179" s="14">
        <f t="shared" ca="1" si="16"/>
        <v>0</v>
      </c>
      <c r="V179" s="14">
        <f t="shared" ca="1" si="17"/>
        <v>0</v>
      </c>
    </row>
    <row r="180" spans="1:22" x14ac:dyDescent="0.2">
      <c r="A180" s="5">
        <f t="shared" si="12"/>
        <v>173</v>
      </c>
      <c r="B180" s="23"/>
      <c r="C180" s="14">
        <v>0</v>
      </c>
      <c r="D180" s="14">
        <v>0</v>
      </c>
      <c r="E180" s="14">
        <v>0</v>
      </c>
      <c r="F180" s="14">
        <v>0</v>
      </c>
      <c r="G180" s="14">
        <v>0</v>
      </c>
      <c r="H180" s="23"/>
      <c r="I180" s="14">
        <v>0</v>
      </c>
      <c r="J180" s="14">
        <v>0</v>
      </c>
      <c r="K180" s="14">
        <v>0</v>
      </c>
      <c r="L180" s="14">
        <v>0</v>
      </c>
      <c r="M180" s="14">
        <v>0</v>
      </c>
      <c r="N180" s="23"/>
      <c r="O180" s="5">
        <f t="shared" si="13"/>
        <v>173</v>
      </c>
      <c r="P180" s="15">
        <f t="shared" ca="1" si="14"/>
        <v>0</v>
      </c>
      <c r="Q180" s="5">
        <f ca="1">IF(O180&gt;$D$2,0,IF($F$2=Choices!$A$2,IF(O180&gt;$E$2,OFFSET(LiborCurve!$A$1,O180,0)+$C$2,$B$2),$B$2))</f>
        <v>0</v>
      </c>
      <c r="R180" s="14">
        <f t="shared" ca="1" si="15"/>
        <v>0</v>
      </c>
      <c r="S180" s="14">
        <f>IF(O180&gt;$D$2,0,IF($G$2=Choices!$B$1,-PMT(Q180/12,$D$2-(O180-1),P180),0))</f>
        <v>0</v>
      </c>
      <c r="T180" s="14">
        <f ca="1">IF(AND($G$2=Choices!$B$2,O180=$D$2),P180,IF(AND($G$2=Choices!$B$2,O180&lt;$D$2),0,S180-R180))</f>
        <v>0</v>
      </c>
      <c r="U180" s="14">
        <f t="shared" ca="1" si="16"/>
        <v>0</v>
      </c>
      <c r="V180" s="14">
        <f t="shared" ca="1" si="17"/>
        <v>0</v>
      </c>
    </row>
    <row r="181" spans="1:22" x14ac:dyDescent="0.2">
      <c r="A181" s="5">
        <f t="shared" si="12"/>
        <v>174</v>
      </c>
      <c r="B181" s="23"/>
      <c r="C181" s="14">
        <v>0</v>
      </c>
      <c r="D181" s="14">
        <v>0</v>
      </c>
      <c r="E181" s="14">
        <v>0</v>
      </c>
      <c r="F181" s="14">
        <v>0</v>
      </c>
      <c r="G181" s="14">
        <v>0</v>
      </c>
      <c r="H181" s="23"/>
      <c r="I181" s="14">
        <v>0</v>
      </c>
      <c r="J181" s="14">
        <v>0</v>
      </c>
      <c r="K181" s="14">
        <v>0</v>
      </c>
      <c r="L181" s="14">
        <v>0</v>
      </c>
      <c r="M181" s="14">
        <v>0</v>
      </c>
      <c r="N181" s="23"/>
      <c r="O181" s="5">
        <f t="shared" si="13"/>
        <v>174</v>
      </c>
      <c r="P181" s="15">
        <f t="shared" ca="1" si="14"/>
        <v>0</v>
      </c>
      <c r="Q181" s="5">
        <f ca="1">IF(O181&gt;$D$2,0,IF($F$2=Choices!$A$2,IF(O181&gt;$E$2,OFFSET(LiborCurve!$A$1,O181,0)+$C$2,$B$2),$B$2))</f>
        <v>0</v>
      </c>
      <c r="R181" s="14">
        <f t="shared" ca="1" si="15"/>
        <v>0</v>
      </c>
      <c r="S181" s="14">
        <f>IF(O181&gt;$D$2,0,IF($G$2=Choices!$B$1,-PMT(Q181/12,$D$2-(O181-1),P181),0))</f>
        <v>0</v>
      </c>
      <c r="T181" s="14">
        <f ca="1">IF(AND($G$2=Choices!$B$2,O181=$D$2),P181,IF(AND($G$2=Choices!$B$2,O181&lt;$D$2),0,S181-R181))</f>
        <v>0</v>
      </c>
      <c r="U181" s="14">
        <f t="shared" ca="1" si="16"/>
        <v>0</v>
      </c>
      <c r="V181" s="14">
        <f t="shared" ca="1" si="17"/>
        <v>0</v>
      </c>
    </row>
    <row r="182" spans="1:22" x14ac:dyDescent="0.2">
      <c r="A182" s="5">
        <f t="shared" si="12"/>
        <v>175</v>
      </c>
      <c r="B182" s="23"/>
      <c r="C182" s="14">
        <v>0</v>
      </c>
      <c r="D182" s="14">
        <v>0</v>
      </c>
      <c r="E182" s="14">
        <v>0</v>
      </c>
      <c r="F182" s="14">
        <v>0</v>
      </c>
      <c r="G182" s="14">
        <v>0</v>
      </c>
      <c r="H182" s="23"/>
      <c r="I182" s="14">
        <v>0</v>
      </c>
      <c r="J182" s="14">
        <v>0</v>
      </c>
      <c r="K182" s="14">
        <v>0</v>
      </c>
      <c r="L182" s="14">
        <v>0</v>
      </c>
      <c r="M182" s="14">
        <v>0</v>
      </c>
      <c r="N182" s="23"/>
      <c r="O182" s="5">
        <f t="shared" si="13"/>
        <v>175</v>
      </c>
      <c r="P182" s="15">
        <f t="shared" ca="1" si="14"/>
        <v>0</v>
      </c>
      <c r="Q182" s="5">
        <f ca="1">IF(O182&gt;$D$2,0,IF($F$2=Choices!$A$2,IF(O182&gt;$E$2,OFFSET(LiborCurve!$A$1,O182,0)+$C$2,$B$2),$B$2))</f>
        <v>0</v>
      </c>
      <c r="R182" s="14">
        <f t="shared" ca="1" si="15"/>
        <v>0</v>
      </c>
      <c r="S182" s="14">
        <f>IF(O182&gt;$D$2,0,IF($G$2=Choices!$B$1,-PMT(Q182/12,$D$2-(O182-1),P182),0))</f>
        <v>0</v>
      </c>
      <c r="T182" s="14">
        <f ca="1">IF(AND($G$2=Choices!$B$2,O182=$D$2),P182,IF(AND($G$2=Choices!$B$2,O182&lt;$D$2),0,S182-R182))</f>
        <v>0</v>
      </c>
      <c r="U182" s="14">
        <f t="shared" ca="1" si="16"/>
        <v>0</v>
      </c>
      <c r="V182" s="14">
        <f t="shared" ca="1" si="17"/>
        <v>0</v>
      </c>
    </row>
    <row r="183" spans="1:22" x14ac:dyDescent="0.2">
      <c r="A183" s="5">
        <f t="shared" si="12"/>
        <v>176</v>
      </c>
      <c r="B183" s="23"/>
      <c r="C183" s="14">
        <v>0</v>
      </c>
      <c r="D183" s="14">
        <v>0</v>
      </c>
      <c r="E183" s="14">
        <v>0</v>
      </c>
      <c r="F183" s="14">
        <v>0</v>
      </c>
      <c r="G183" s="14">
        <v>0</v>
      </c>
      <c r="H183" s="23"/>
      <c r="I183" s="14">
        <v>0</v>
      </c>
      <c r="J183" s="14">
        <v>0</v>
      </c>
      <c r="K183" s="14">
        <v>0</v>
      </c>
      <c r="L183" s="14">
        <v>0</v>
      </c>
      <c r="M183" s="14">
        <v>0</v>
      </c>
      <c r="N183" s="23"/>
      <c r="O183" s="5">
        <f t="shared" si="13"/>
        <v>176</v>
      </c>
      <c r="P183" s="15">
        <f t="shared" ca="1" si="14"/>
        <v>0</v>
      </c>
      <c r="Q183" s="5">
        <f ca="1">IF(O183&gt;$D$2,0,IF($F$2=Choices!$A$2,IF(O183&gt;$E$2,OFFSET(LiborCurve!$A$1,O183,0)+$C$2,$B$2),$B$2))</f>
        <v>0</v>
      </c>
      <c r="R183" s="14">
        <f t="shared" ca="1" si="15"/>
        <v>0</v>
      </c>
      <c r="S183" s="14">
        <f>IF(O183&gt;$D$2,0,IF($G$2=Choices!$B$1,-PMT(Q183/12,$D$2-(O183-1),P183),0))</f>
        <v>0</v>
      </c>
      <c r="T183" s="14">
        <f ca="1">IF(AND($G$2=Choices!$B$2,O183=$D$2),P183,IF(AND($G$2=Choices!$B$2,O183&lt;$D$2),0,S183-R183))</f>
        <v>0</v>
      </c>
      <c r="U183" s="14">
        <f t="shared" ca="1" si="16"/>
        <v>0</v>
      </c>
      <c r="V183" s="14">
        <f t="shared" ca="1" si="17"/>
        <v>0</v>
      </c>
    </row>
    <row r="184" spans="1:22" x14ac:dyDescent="0.2">
      <c r="A184" s="5">
        <f t="shared" si="12"/>
        <v>177</v>
      </c>
      <c r="B184" s="23"/>
      <c r="C184" s="14">
        <v>0</v>
      </c>
      <c r="D184" s="14">
        <v>0</v>
      </c>
      <c r="E184" s="14">
        <v>0</v>
      </c>
      <c r="F184" s="14">
        <v>0</v>
      </c>
      <c r="G184" s="14">
        <v>0</v>
      </c>
      <c r="H184" s="23"/>
      <c r="I184" s="14">
        <v>0</v>
      </c>
      <c r="J184" s="14">
        <v>0</v>
      </c>
      <c r="K184" s="14">
        <v>0</v>
      </c>
      <c r="L184" s="14">
        <v>0</v>
      </c>
      <c r="M184" s="14">
        <v>0</v>
      </c>
      <c r="N184" s="23"/>
      <c r="O184" s="5">
        <f t="shared" si="13"/>
        <v>177</v>
      </c>
      <c r="P184" s="15">
        <f t="shared" ca="1" si="14"/>
        <v>0</v>
      </c>
      <c r="Q184" s="5">
        <f ca="1">IF(O184&gt;$D$2,0,IF($F$2=Choices!$A$2,IF(O184&gt;$E$2,OFFSET(LiborCurve!$A$1,O184,0)+$C$2,$B$2),$B$2))</f>
        <v>0</v>
      </c>
      <c r="R184" s="14">
        <f t="shared" ca="1" si="15"/>
        <v>0</v>
      </c>
      <c r="S184" s="14">
        <f>IF(O184&gt;$D$2,0,IF($G$2=Choices!$B$1,-PMT(Q184/12,$D$2-(O184-1),P184),0))</f>
        <v>0</v>
      </c>
      <c r="T184" s="14">
        <f ca="1">IF(AND($G$2=Choices!$B$2,O184=$D$2),P184,IF(AND($G$2=Choices!$B$2,O184&lt;$D$2),0,S184-R184))</f>
        <v>0</v>
      </c>
      <c r="U184" s="14">
        <f t="shared" ca="1" si="16"/>
        <v>0</v>
      </c>
      <c r="V184" s="14">
        <f t="shared" ca="1" si="17"/>
        <v>0</v>
      </c>
    </row>
    <row r="185" spans="1:22" x14ac:dyDescent="0.2">
      <c r="A185" s="5">
        <f t="shared" si="12"/>
        <v>178</v>
      </c>
      <c r="B185" s="23"/>
      <c r="C185" s="14">
        <v>0</v>
      </c>
      <c r="D185" s="14">
        <v>0</v>
      </c>
      <c r="E185" s="14">
        <v>0</v>
      </c>
      <c r="F185" s="14">
        <v>0</v>
      </c>
      <c r="G185" s="14">
        <v>0</v>
      </c>
      <c r="H185" s="23"/>
      <c r="I185" s="14">
        <v>0</v>
      </c>
      <c r="J185" s="14">
        <v>0</v>
      </c>
      <c r="K185" s="14">
        <v>0</v>
      </c>
      <c r="L185" s="14">
        <v>0</v>
      </c>
      <c r="M185" s="14">
        <v>0</v>
      </c>
      <c r="N185" s="23"/>
      <c r="O185" s="5">
        <f t="shared" si="13"/>
        <v>178</v>
      </c>
      <c r="P185" s="15">
        <f t="shared" ca="1" si="14"/>
        <v>0</v>
      </c>
      <c r="Q185" s="5">
        <f ca="1">IF(O185&gt;$D$2,0,IF($F$2=Choices!$A$2,IF(O185&gt;$E$2,OFFSET(LiborCurve!$A$1,O185,0)+$C$2,$B$2),$B$2))</f>
        <v>0</v>
      </c>
      <c r="R185" s="14">
        <f t="shared" ca="1" si="15"/>
        <v>0</v>
      </c>
      <c r="S185" s="14">
        <f>IF(O185&gt;$D$2,0,IF($G$2=Choices!$B$1,-PMT(Q185/12,$D$2-(O185-1),P185),0))</f>
        <v>0</v>
      </c>
      <c r="T185" s="14">
        <f ca="1">IF(AND($G$2=Choices!$B$2,O185=$D$2),P185,IF(AND($G$2=Choices!$B$2,O185&lt;$D$2),0,S185-R185))</f>
        <v>0</v>
      </c>
      <c r="U185" s="14">
        <f t="shared" ca="1" si="16"/>
        <v>0</v>
      </c>
      <c r="V185" s="14">
        <f t="shared" ca="1" si="17"/>
        <v>0</v>
      </c>
    </row>
    <row r="186" spans="1:22" x14ac:dyDescent="0.2">
      <c r="A186" s="5">
        <f t="shared" si="12"/>
        <v>179</v>
      </c>
      <c r="B186" s="23"/>
      <c r="C186" s="14">
        <v>0</v>
      </c>
      <c r="D186" s="14">
        <v>0</v>
      </c>
      <c r="E186" s="14">
        <v>0</v>
      </c>
      <c r="F186" s="14">
        <v>0</v>
      </c>
      <c r="G186" s="14">
        <v>0</v>
      </c>
      <c r="H186" s="23"/>
      <c r="I186" s="14">
        <v>0</v>
      </c>
      <c r="J186" s="14">
        <v>0</v>
      </c>
      <c r="K186" s="14">
        <v>0</v>
      </c>
      <c r="L186" s="14">
        <v>0</v>
      </c>
      <c r="M186" s="14">
        <v>0</v>
      </c>
      <c r="N186" s="23"/>
      <c r="O186" s="5">
        <f t="shared" si="13"/>
        <v>179</v>
      </c>
      <c r="P186" s="15">
        <f t="shared" ca="1" si="14"/>
        <v>0</v>
      </c>
      <c r="Q186" s="5">
        <f ca="1">IF(O186&gt;$D$2,0,IF($F$2=Choices!$A$2,IF(O186&gt;$E$2,OFFSET(LiborCurve!$A$1,O186,0)+$C$2,$B$2),$B$2))</f>
        <v>0</v>
      </c>
      <c r="R186" s="14">
        <f t="shared" ca="1" si="15"/>
        <v>0</v>
      </c>
      <c r="S186" s="14">
        <f>IF(O186&gt;$D$2,0,IF($G$2=Choices!$B$1,-PMT(Q186/12,$D$2-(O186-1),P186),0))</f>
        <v>0</v>
      </c>
      <c r="T186" s="14">
        <f ca="1">IF(AND($G$2=Choices!$B$2,O186=$D$2),P186,IF(AND($G$2=Choices!$B$2,O186&lt;$D$2),0,S186-R186))</f>
        <v>0</v>
      </c>
      <c r="U186" s="14">
        <f t="shared" ca="1" si="16"/>
        <v>0</v>
      </c>
      <c r="V186" s="14">
        <f t="shared" ca="1" si="17"/>
        <v>0</v>
      </c>
    </row>
    <row r="187" spans="1:22" x14ac:dyDescent="0.2">
      <c r="A187" s="5">
        <f t="shared" si="12"/>
        <v>180</v>
      </c>
      <c r="B187" s="23"/>
      <c r="C187" s="14">
        <v>0</v>
      </c>
      <c r="D187" s="14">
        <v>0</v>
      </c>
      <c r="E187" s="14">
        <v>0</v>
      </c>
      <c r="F187" s="14">
        <v>0</v>
      </c>
      <c r="G187" s="14">
        <v>0</v>
      </c>
      <c r="H187" s="23"/>
      <c r="I187" s="14">
        <v>0</v>
      </c>
      <c r="J187" s="14">
        <v>0</v>
      </c>
      <c r="K187" s="14">
        <v>0</v>
      </c>
      <c r="L187" s="14">
        <v>0</v>
      </c>
      <c r="M187" s="14">
        <v>0</v>
      </c>
      <c r="N187" s="23"/>
      <c r="O187" s="5">
        <f t="shared" si="13"/>
        <v>180</v>
      </c>
      <c r="P187" s="15">
        <f t="shared" ca="1" si="14"/>
        <v>0</v>
      </c>
      <c r="Q187" s="5">
        <f ca="1">IF(O187&gt;$D$2,0,IF($F$2=Choices!$A$2,IF(O187&gt;$E$2,OFFSET(LiborCurve!$A$1,O187,0)+$C$2,$B$2),$B$2))</f>
        <v>0</v>
      </c>
      <c r="R187" s="14">
        <f t="shared" ca="1" si="15"/>
        <v>0</v>
      </c>
      <c r="S187" s="14">
        <f>IF(O187&gt;$D$2,0,IF($G$2=Choices!$B$1,-PMT(Q187/12,$D$2-(O187-1),P187),0))</f>
        <v>0</v>
      </c>
      <c r="T187" s="14">
        <f ca="1">IF(AND($G$2=Choices!$B$2,O187=$D$2),P187,IF(AND($G$2=Choices!$B$2,O187&lt;$D$2),0,S187-R187))</f>
        <v>0</v>
      </c>
      <c r="U187" s="14">
        <f t="shared" ca="1" si="16"/>
        <v>0</v>
      </c>
      <c r="V187" s="14">
        <f t="shared" ca="1" si="17"/>
        <v>0</v>
      </c>
    </row>
    <row r="188" spans="1:22" x14ac:dyDescent="0.2">
      <c r="A188" s="5">
        <f t="shared" si="12"/>
        <v>181</v>
      </c>
      <c r="B188" s="23"/>
      <c r="C188" s="14">
        <v>0</v>
      </c>
      <c r="D188" s="14">
        <v>0</v>
      </c>
      <c r="E188" s="14">
        <v>0</v>
      </c>
      <c r="F188" s="14">
        <v>0</v>
      </c>
      <c r="G188" s="14">
        <v>0</v>
      </c>
      <c r="H188" s="23"/>
      <c r="I188" s="14">
        <v>0</v>
      </c>
      <c r="J188" s="14">
        <v>0</v>
      </c>
      <c r="K188" s="14">
        <v>0</v>
      </c>
      <c r="L188" s="14">
        <v>0</v>
      </c>
      <c r="M188" s="14">
        <v>0</v>
      </c>
      <c r="N188" s="23"/>
      <c r="O188" s="5">
        <f t="shared" si="13"/>
        <v>181</v>
      </c>
      <c r="P188" s="15">
        <f t="shared" ca="1" si="14"/>
        <v>0</v>
      </c>
      <c r="Q188" s="5">
        <f ca="1">IF(O188&gt;$D$2,0,IF($F$2=Choices!$A$2,IF(O188&gt;$E$2,OFFSET(LiborCurve!$A$1,O188,0)+$C$2,$B$2),$B$2))</f>
        <v>0</v>
      </c>
      <c r="R188" s="14">
        <f t="shared" ca="1" si="15"/>
        <v>0</v>
      </c>
      <c r="S188" s="14">
        <f>IF(O188&gt;$D$2,0,IF($G$2=Choices!$B$1,-PMT(Q188/12,$D$2-(O188-1),P188),0))</f>
        <v>0</v>
      </c>
      <c r="T188" s="14">
        <f ca="1">IF(AND($G$2=Choices!$B$2,O188=$D$2),P188,IF(AND($G$2=Choices!$B$2,O188&lt;$D$2),0,S188-R188))</f>
        <v>0</v>
      </c>
      <c r="U188" s="14">
        <f t="shared" ca="1" si="16"/>
        <v>0</v>
      </c>
      <c r="V188" s="14">
        <f t="shared" ca="1" si="17"/>
        <v>0</v>
      </c>
    </row>
    <row r="189" spans="1:22" x14ac:dyDescent="0.2">
      <c r="A189" s="5">
        <f t="shared" si="12"/>
        <v>182</v>
      </c>
      <c r="B189" s="23"/>
      <c r="C189" s="14">
        <v>0</v>
      </c>
      <c r="D189" s="14">
        <v>0</v>
      </c>
      <c r="E189" s="14">
        <v>0</v>
      </c>
      <c r="F189" s="14">
        <v>0</v>
      </c>
      <c r="G189" s="14">
        <v>0</v>
      </c>
      <c r="H189" s="23"/>
      <c r="I189" s="14">
        <v>0</v>
      </c>
      <c r="J189" s="14">
        <v>0</v>
      </c>
      <c r="K189" s="14">
        <v>0</v>
      </c>
      <c r="L189" s="14">
        <v>0</v>
      </c>
      <c r="M189" s="14">
        <v>0</v>
      </c>
      <c r="N189" s="23"/>
      <c r="O189" s="5">
        <f t="shared" si="13"/>
        <v>182</v>
      </c>
      <c r="P189" s="15">
        <f t="shared" ca="1" si="14"/>
        <v>0</v>
      </c>
      <c r="Q189" s="5">
        <f ca="1">IF(O189&gt;$D$2,0,IF($F$2=Choices!$A$2,IF(O189&gt;$E$2,OFFSET(LiborCurve!$A$1,O189,0)+$C$2,$B$2),$B$2))</f>
        <v>0</v>
      </c>
      <c r="R189" s="14">
        <f t="shared" ca="1" si="15"/>
        <v>0</v>
      </c>
      <c r="S189" s="14">
        <f>IF(O189&gt;$D$2,0,IF($G$2=Choices!$B$1,-PMT(Q189/12,$D$2-(O189-1),P189),0))</f>
        <v>0</v>
      </c>
      <c r="T189" s="14">
        <f ca="1">IF(AND($G$2=Choices!$B$2,O189=$D$2),P189,IF(AND($G$2=Choices!$B$2,O189&lt;$D$2),0,S189-R189))</f>
        <v>0</v>
      </c>
      <c r="U189" s="14">
        <f t="shared" ca="1" si="16"/>
        <v>0</v>
      </c>
      <c r="V189" s="14">
        <f t="shared" ca="1" si="17"/>
        <v>0</v>
      </c>
    </row>
    <row r="190" spans="1:22" x14ac:dyDescent="0.2">
      <c r="A190" s="5">
        <f t="shared" si="12"/>
        <v>183</v>
      </c>
      <c r="B190" s="23"/>
      <c r="C190" s="14">
        <v>0</v>
      </c>
      <c r="D190" s="14">
        <v>0</v>
      </c>
      <c r="E190" s="14">
        <v>0</v>
      </c>
      <c r="F190" s="14">
        <v>0</v>
      </c>
      <c r="G190" s="14">
        <v>0</v>
      </c>
      <c r="H190" s="23"/>
      <c r="I190" s="14">
        <v>0</v>
      </c>
      <c r="J190" s="14">
        <v>0</v>
      </c>
      <c r="K190" s="14">
        <v>0</v>
      </c>
      <c r="L190" s="14">
        <v>0</v>
      </c>
      <c r="M190" s="14">
        <v>0</v>
      </c>
      <c r="N190" s="23"/>
      <c r="O190" s="5">
        <f t="shared" si="13"/>
        <v>183</v>
      </c>
      <c r="P190" s="15">
        <f t="shared" ca="1" si="14"/>
        <v>0</v>
      </c>
      <c r="Q190" s="5">
        <f ca="1">IF(O190&gt;$D$2,0,IF($F$2=Choices!$A$2,IF(O190&gt;$E$2,OFFSET(LiborCurve!$A$1,O190,0)+$C$2,$B$2),$B$2))</f>
        <v>0</v>
      </c>
      <c r="R190" s="14">
        <f t="shared" ca="1" si="15"/>
        <v>0</v>
      </c>
      <c r="S190" s="14">
        <f>IF(O190&gt;$D$2,0,IF($G$2=Choices!$B$1,-PMT(Q190/12,$D$2-(O190-1),P190),0))</f>
        <v>0</v>
      </c>
      <c r="T190" s="14">
        <f ca="1">IF(AND($G$2=Choices!$B$2,O190=$D$2),P190,IF(AND($G$2=Choices!$B$2,O190&lt;$D$2),0,S190-R190))</f>
        <v>0</v>
      </c>
      <c r="U190" s="14">
        <f t="shared" ca="1" si="16"/>
        <v>0</v>
      </c>
      <c r="V190" s="14">
        <f t="shared" ca="1" si="17"/>
        <v>0</v>
      </c>
    </row>
    <row r="191" spans="1:22" x14ac:dyDescent="0.2">
      <c r="A191" s="5">
        <f t="shared" si="12"/>
        <v>184</v>
      </c>
      <c r="B191" s="23"/>
      <c r="C191" s="14">
        <v>0</v>
      </c>
      <c r="D191" s="14">
        <v>0</v>
      </c>
      <c r="E191" s="14">
        <v>0</v>
      </c>
      <c r="F191" s="14">
        <v>0</v>
      </c>
      <c r="G191" s="14">
        <v>0</v>
      </c>
      <c r="H191" s="23"/>
      <c r="I191" s="14">
        <v>0</v>
      </c>
      <c r="J191" s="14">
        <v>0</v>
      </c>
      <c r="K191" s="14">
        <v>0</v>
      </c>
      <c r="L191" s="14">
        <v>0</v>
      </c>
      <c r="M191" s="14">
        <v>0</v>
      </c>
      <c r="N191" s="23"/>
      <c r="O191" s="5">
        <f t="shared" si="13"/>
        <v>184</v>
      </c>
      <c r="P191" s="15">
        <f t="shared" ca="1" si="14"/>
        <v>0</v>
      </c>
      <c r="Q191" s="5">
        <f ca="1">IF(O191&gt;$D$2,0,IF($F$2=Choices!$A$2,IF(O191&gt;$E$2,OFFSET(LiborCurve!$A$1,O191,0)+$C$2,$B$2),$B$2))</f>
        <v>0</v>
      </c>
      <c r="R191" s="14">
        <f t="shared" ca="1" si="15"/>
        <v>0</v>
      </c>
      <c r="S191" s="14">
        <f>IF(O191&gt;$D$2,0,IF($G$2=Choices!$B$1,-PMT(Q191/12,$D$2-(O191-1),P191),0))</f>
        <v>0</v>
      </c>
      <c r="T191" s="14">
        <f ca="1">IF(AND($G$2=Choices!$B$2,O191=$D$2),P191,IF(AND($G$2=Choices!$B$2,O191&lt;$D$2),0,S191-R191))</f>
        <v>0</v>
      </c>
      <c r="U191" s="14">
        <f t="shared" ca="1" si="16"/>
        <v>0</v>
      </c>
      <c r="V191" s="14">
        <f t="shared" ca="1" si="17"/>
        <v>0</v>
      </c>
    </row>
    <row r="192" spans="1:22" x14ac:dyDescent="0.2">
      <c r="A192" s="5">
        <f t="shared" si="12"/>
        <v>185</v>
      </c>
      <c r="B192" s="23"/>
      <c r="C192" s="14">
        <v>0</v>
      </c>
      <c r="D192" s="14">
        <v>0</v>
      </c>
      <c r="E192" s="14">
        <v>0</v>
      </c>
      <c r="F192" s="14">
        <v>0</v>
      </c>
      <c r="G192" s="14">
        <v>0</v>
      </c>
      <c r="H192" s="23"/>
      <c r="I192" s="14">
        <v>0</v>
      </c>
      <c r="J192" s="14">
        <v>0</v>
      </c>
      <c r="K192" s="14">
        <v>0</v>
      </c>
      <c r="L192" s="14">
        <v>0</v>
      </c>
      <c r="M192" s="14">
        <v>0</v>
      </c>
      <c r="N192" s="23"/>
      <c r="O192" s="5">
        <f t="shared" si="13"/>
        <v>185</v>
      </c>
      <c r="P192" s="15">
        <f t="shared" ca="1" si="14"/>
        <v>0</v>
      </c>
      <c r="Q192" s="5">
        <f ca="1">IF(O192&gt;$D$2,0,IF($F$2=Choices!$A$2,IF(O192&gt;$E$2,OFFSET(LiborCurve!$A$1,O192,0)+$C$2,$B$2),$B$2))</f>
        <v>0</v>
      </c>
      <c r="R192" s="14">
        <f t="shared" ca="1" si="15"/>
        <v>0</v>
      </c>
      <c r="S192" s="14">
        <f>IF(O192&gt;$D$2,0,IF($G$2=Choices!$B$1,-PMT(Q192/12,$D$2-(O192-1),P192),0))</f>
        <v>0</v>
      </c>
      <c r="T192" s="14">
        <f ca="1">IF(AND($G$2=Choices!$B$2,O192=$D$2),P192,IF(AND($G$2=Choices!$B$2,O192&lt;$D$2),0,S192-R192))</f>
        <v>0</v>
      </c>
      <c r="U192" s="14">
        <f t="shared" ca="1" si="16"/>
        <v>0</v>
      </c>
      <c r="V192" s="14">
        <f t="shared" ca="1" si="17"/>
        <v>0</v>
      </c>
    </row>
    <row r="193" spans="1:22" x14ac:dyDescent="0.2">
      <c r="A193" s="5">
        <f t="shared" si="12"/>
        <v>186</v>
      </c>
      <c r="B193" s="23"/>
      <c r="C193" s="14">
        <v>0</v>
      </c>
      <c r="D193" s="14">
        <v>0</v>
      </c>
      <c r="E193" s="14">
        <v>0</v>
      </c>
      <c r="F193" s="14">
        <v>0</v>
      </c>
      <c r="G193" s="14">
        <v>0</v>
      </c>
      <c r="H193" s="23"/>
      <c r="I193" s="14">
        <v>0</v>
      </c>
      <c r="J193" s="14">
        <v>0</v>
      </c>
      <c r="K193" s="14">
        <v>0</v>
      </c>
      <c r="L193" s="14">
        <v>0</v>
      </c>
      <c r="M193" s="14">
        <v>0</v>
      </c>
      <c r="N193" s="23"/>
      <c r="O193" s="5">
        <f t="shared" si="13"/>
        <v>186</v>
      </c>
      <c r="P193" s="15">
        <f t="shared" ca="1" si="14"/>
        <v>0</v>
      </c>
      <c r="Q193" s="5">
        <f ca="1">IF(O193&gt;$D$2,0,IF($F$2=Choices!$A$2,IF(O193&gt;$E$2,OFFSET(LiborCurve!$A$1,O193,0)+$C$2,$B$2),$B$2))</f>
        <v>0</v>
      </c>
      <c r="R193" s="14">
        <f t="shared" ca="1" si="15"/>
        <v>0</v>
      </c>
      <c r="S193" s="14">
        <f>IF(O193&gt;$D$2,0,IF($G$2=Choices!$B$1,-PMT(Q193/12,$D$2-(O193-1),P193),0))</f>
        <v>0</v>
      </c>
      <c r="T193" s="14">
        <f ca="1">IF(AND($G$2=Choices!$B$2,O193=$D$2),P193,IF(AND($G$2=Choices!$B$2,O193&lt;$D$2),0,S193-R193))</f>
        <v>0</v>
      </c>
      <c r="U193" s="14">
        <f t="shared" ca="1" si="16"/>
        <v>0</v>
      </c>
      <c r="V193" s="14">
        <f t="shared" ca="1" si="17"/>
        <v>0</v>
      </c>
    </row>
    <row r="194" spans="1:22" x14ac:dyDescent="0.2">
      <c r="A194" s="5">
        <f t="shared" si="12"/>
        <v>187</v>
      </c>
      <c r="B194" s="23"/>
      <c r="C194" s="14">
        <v>0</v>
      </c>
      <c r="D194" s="14">
        <v>0</v>
      </c>
      <c r="E194" s="14">
        <v>0</v>
      </c>
      <c r="F194" s="14">
        <v>0</v>
      </c>
      <c r="G194" s="14">
        <v>0</v>
      </c>
      <c r="H194" s="23"/>
      <c r="I194" s="14">
        <v>0</v>
      </c>
      <c r="J194" s="14">
        <v>0</v>
      </c>
      <c r="K194" s="14">
        <v>0</v>
      </c>
      <c r="L194" s="14">
        <v>0</v>
      </c>
      <c r="M194" s="14">
        <v>0</v>
      </c>
      <c r="N194" s="23"/>
      <c r="O194" s="5">
        <f t="shared" si="13"/>
        <v>187</v>
      </c>
      <c r="P194" s="15">
        <f t="shared" ca="1" si="14"/>
        <v>0</v>
      </c>
      <c r="Q194" s="5">
        <f ca="1">IF(O194&gt;$D$2,0,IF($F$2=Choices!$A$2,IF(O194&gt;$E$2,OFFSET(LiborCurve!$A$1,O194,0)+$C$2,$B$2),$B$2))</f>
        <v>0</v>
      </c>
      <c r="R194" s="14">
        <f t="shared" ca="1" si="15"/>
        <v>0</v>
      </c>
      <c r="S194" s="14">
        <f>IF(O194&gt;$D$2,0,IF($G$2=Choices!$B$1,-PMT(Q194/12,$D$2-(O194-1),P194),0))</f>
        <v>0</v>
      </c>
      <c r="T194" s="14">
        <f ca="1">IF(AND($G$2=Choices!$B$2,O194=$D$2),P194,IF(AND($G$2=Choices!$B$2,O194&lt;$D$2),0,S194-R194))</f>
        <v>0</v>
      </c>
      <c r="U194" s="14">
        <f t="shared" ca="1" si="16"/>
        <v>0</v>
      </c>
      <c r="V194" s="14">
        <f t="shared" ca="1" si="17"/>
        <v>0</v>
      </c>
    </row>
    <row r="195" spans="1:22" x14ac:dyDescent="0.2">
      <c r="A195" s="5">
        <f t="shared" si="12"/>
        <v>188</v>
      </c>
      <c r="B195" s="23"/>
      <c r="C195" s="14">
        <v>0</v>
      </c>
      <c r="D195" s="14">
        <v>0</v>
      </c>
      <c r="E195" s="14">
        <v>0</v>
      </c>
      <c r="F195" s="14">
        <v>0</v>
      </c>
      <c r="G195" s="14">
        <v>0</v>
      </c>
      <c r="H195" s="23"/>
      <c r="I195" s="14">
        <v>0</v>
      </c>
      <c r="J195" s="14">
        <v>0</v>
      </c>
      <c r="K195" s="14">
        <v>0</v>
      </c>
      <c r="L195" s="14">
        <v>0</v>
      </c>
      <c r="M195" s="14">
        <v>0</v>
      </c>
      <c r="N195" s="23"/>
      <c r="O195" s="5">
        <f t="shared" si="13"/>
        <v>188</v>
      </c>
      <c r="P195" s="15">
        <f t="shared" ca="1" si="14"/>
        <v>0</v>
      </c>
      <c r="Q195" s="5">
        <f ca="1">IF(O195&gt;$D$2,0,IF($F$2=Choices!$A$2,IF(O195&gt;$E$2,OFFSET(LiborCurve!$A$1,O195,0)+$C$2,$B$2),$B$2))</f>
        <v>0</v>
      </c>
      <c r="R195" s="14">
        <f t="shared" ca="1" si="15"/>
        <v>0</v>
      </c>
      <c r="S195" s="14">
        <f>IF(O195&gt;$D$2,0,IF($G$2=Choices!$B$1,-PMT(Q195/12,$D$2-(O195-1),P195),0))</f>
        <v>0</v>
      </c>
      <c r="T195" s="14">
        <f ca="1">IF(AND($G$2=Choices!$B$2,O195=$D$2),P195,IF(AND($G$2=Choices!$B$2,O195&lt;$D$2),0,S195-R195))</f>
        <v>0</v>
      </c>
      <c r="U195" s="14">
        <f t="shared" ca="1" si="16"/>
        <v>0</v>
      </c>
      <c r="V195" s="14">
        <f t="shared" ca="1" si="17"/>
        <v>0</v>
      </c>
    </row>
    <row r="196" spans="1:22" x14ac:dyDescent="0.2">
      <c r="A196" s="5">
        <f t="shared" si="12"/>
        <v>189</v>
      </c>
      <c r="B196" s="23"/>
      <c r="C196" s="14">
        <v>0</v>
      </c>
      <c r="D196" s="14">
        <v>0</v>
      </c>
      <c r="E196" s="14">
        <v>0</v>
      </c>
      <c r="F196" s="14">
        <v>0</v>
      </c>
      <c r="G196" s="14">
        <v>0</v>
      </c>
      <c r="H196" s="23"/>
      <c r="I196" s="14">
        <v>0</v>
      </c>
      <c r="J196" s="14">
        <v>0</v>
      </c>
      <c r="K196" s="14">
        <v>0</v>
      </c>
      <c r="L196" s="14">
        <v>0</v>
      </c>
      <c r="M196" s="14">
        <v>0</v>
      </c>
      <c r="N196" s="23"/>
      <c r="O196" s="5">
        <f t="shared" si="13"/>
        <v>189</v>
      </c>
      <c r="P196" s="15">
        <f t="shared" ca="1" si="14"/>
        <v>0</v>
      </c>
      <c r="Q196" s="5">
        <f ca="1">IF(O196&gt;$D$2,0,IF($F$2=Choices!$A$2,IF(O196&gt;$E$2,OFFSET(LiborCurve!$A$1,O196,0)+$C$2,$B$2),$B$2))</f>
        <v>0</v>
      </c>
      <c r="R196" s="14">
        <f t="shared" ca="1" si="15"/>
        <v>0</v>
      </c>
      <c r="S196" s="14">
        <f>IF(O196&gt;$D$2,0,IF($G$2=Choices!$B$1,-PMT(Q196/12,$D$2-(O196-1),P196),0))</f>
        <v>0</v>
      </c>
      <c r="T196" s="14">
        <f ca="1">IF(AND($G$2=Choices!$B$2,O196=$D$2),P196,IF(AND($G$2=Choices!$B$2,O196&lt;$D$2),0,S196-R196))</f>
        <v>0</v>
      </c>
      <c r="U196" s="14">
        <f t="shared" ca="1" si="16"/>
        <v>0</v>
      </c>
      <c r="V196" s="14">
        <f t="shared" ca="1" si="17"/>
        <v>0</v>
      </c>
    </row>
    <row r="197" spans="1:22" x14ac:dyDescent="0.2">
      <c r="A197" s="5">
        <f t="shared" si="12"/>
        <v>190</v>
      </c>
      <c r="B197" s="23"/>
      <c r="C197" s="14">
        <v>0</v>
      </c>
      <c r="D197" s="14">
        <v>0</v>
      </c>
      <c r="E197" s="14">
        <v>0</v>
      </c>
      <c r="F197" s="14">
        <v>0</v>
      </c>
      <c r="G197" s="14">
        <v>0</v>
      </c>
      <c r="H197" s="23"/>
      <c r="I197" s="14">
        <v>0</v>
      </c>
      <c r="J197" s="14">
        <v>0</v>
      </c>
      <c r="K197" s="14">
        <v>0</v>
      </c>
      <c r="L197" s="14">
        <v>0</v>
      </c>
      <c r="M197" s="14">
        <v>0</v>
      </c>
      <c r="N197" s="23"/>
      <c r="O197" s="5">
        <f t="shared" si="13"/>
        <v>190</v>
      </c>
      <c r="P197" s="15">
        <f t="shared" ca="1" si="14"/>
        <v>0</v>
      </c>
      <c r="Q197" s="5">
        <f ca="1">IF(O197&gt;$D$2,0,IF($F$2=Choices!$A$2,IF(O197&gt;$E$2,OFFSET(LiborCurve!$A$1,O197,0)+$C$2,$B$2),$B$2))</f>
        <v>0</v>
      </c>
      <c r="R197" s="14">
        <f t="shared" ca="1" si="15"/>
        <v>0</v>
      </c>
      <c r="S197" s="14">
        <f>IF(O197&gt;$D$2,0,IF($G$2=Choices!$B$1,-PMT(Q197/12,$D$2-(O197-1),P197),0))</f>
        <v>0</v>
      </c>
      <c r="T197" s="14">
        <f ca="1">IF(AND($G$2=Choices!$B$2,O197=$D$2),P197,IF(AND($G$2=Choices!$B$2,O197&lt;$D$2),0,S197-R197))</f>
        <v>0</v>
      </c>
      <c r="U197" s="14">
        <f t="shared" ca="1" si="16"/>
        <v>0</v>
      </c>
      <c r="V197" s="14">
        <f t="shared" ca="1" si="17"/>
        <v>0</v>
      </c>
    </row>
    <row r="198" spans="1:22" x14ac:dyDescent="0.2">
      <c r="A198" s="5">
        <f t="shared" si="12"/>
        <v>191</v>
      </c>
      <c r="B198" s="23"/>
      <c r="C198" s="14">
        <v>0</v>
      </c>
      <c r="D198" s="14">
        <v>0</v>
      </c>
      <c r="E198" s="14">
        <v>0</v>
      </c>
      <c r="F198" s="14">
        <v>0</v>
      </c>
      <c r="G198" s="14">
        <v>0</v>
      </c>
      <c r="H198" s="23"/>
      <c r="I198" s="14">
        <v>0</v>
      </c>
      <c r="J198" s="14">
        <v>0</v>
      </c>
      <c r="K198" s="14">
        <v>0</v>
      </c>
      <c r="L198" s="14">
        <v>0</v>
      </c>
      <c r="M198" s="14">
        <v>0</v>
      </c>
      <c r="N198" s="23"/>
      <c r="O198" s="5">
        <f t="shared" si="13"/>
        <v>191</v>
      </c>
      <c r="P198" s="15">
        <f t="shared" ca="1" si="14"/>
        <v>0</v>
      </c>
      <c r="Q198" s="5">
        <f ca="1">IF(O198&gt;$D$2,0,IF($F$2=Choices!$A$2,IF(O198&gt;$E$2,OFFSET(LiborCurve!$A$1,O198,0)+$C$2,$B$2),$B$2))</f>
        <v>0</v>
      </c>
      <c r="R198" s="14">
        <f t="shared" ca="1" si="15"/>
        <v>0</v>
      </c>
      <c r="S198" s="14">
        <f>IF(O198&gt;$D$2,0,IF($G$2=Choices!$B$1,-PMT(Q198/12,$D$2-(O198-1),P198),0))</f>
        <v>0</v>
      </c>
      <c r="T198" s="14">
        <f ca="1">IF(AND($G$2=Choices!$B$2,O198=$D$2),P198,IF(AND($G$2=Choices!$B$2,O198&lt;$D$2),0,S198-R198))</f>
        <v>0</v>
      </c>
      <c r="U198" s="14">
        <f t="shared" ca="1" si="16"/>
        <v>0</v>
      </c>
      <c r="V198" s="14">
        <f t="shared" ca="1" si="17"/>
        <v>0</v>
      </c>
    </row>
    <row r="199" spans="1:22" x14ac:dyDescent="0.2">
      <c r="A199" s="5">
        <f t="shared" si="12"/>
        <v>192</v>
      </c>
      <c r="B199" s="23"/>
      <c r="C199" s="14">
        <v>0</v>
      </c>
      <c r="D199" s="14">
        <v>0</v>
      </c>
      <c r="E199" s="14">
        <v>0</v>
      </c>
      <c r="F199" s="14">
        <v>0</v>
      </c>
      <c r="G199" s="14">
        <v>0</v>
      </c>
      <c r="H199" s="23"/>
      <c r="I199" s="14">
        <v>0</v>
      </c>
      <c r="J199" s="14">
        <v>0</v>
      </c>
      <c r="K199" s="14">
        <v>0</v>
      </c>
      <c r="L199" s="14">
        <v>0</v>
      </c>
      <c r="M199" s="14">
        <v>0</v>
      </c>
      <c r="N199" s="23"/>
      <c r="O199" s="5">
        <f t="shared" si="13"/>
        <v>192</v>
      </c>
      <c r="P199" s="15">
        <f t="shared" ca="1" si="14"/>
        <v>0</v>
      </c>
      <c r="Q199" s="5">
        <f ca="1">IF(O199&gt;$D$2,0,IF($F$2=Choices!$A$2,IF(O199&gt;$E$2,OFFSET(LiborCurve!$A$1,O199,0)+$C$2,$B$2),$B$2))</f>
        <v>0</v>
      </c>
      <c r="R199" s="14">
        <f t="shared" ca="1" si="15"/>
        <v>0</v>
      </c>
      <c r="S199" s="14">
        <f>IF(O199&gt;$D$2,0,IF($G$2=Choices!$B$1,-PMT(Q199/12,$D$2-(O199-1),P199),0))</f>
        <v>0</v>
      </c>
      <c r="T199" s="14">
        <f ca="1">IF(AND($G$2=Choices!$B$2,O199=$D$2),P199,IF(AND($G$2=Choices!$B$2,O199&lt;$D$2),0,S199-R199))</f>
        <v>0</v>
      </c>
      <c r="U199" s="14">
        <f t="shared" ca="1" si="16"/>
        <v>0</v>
      </c>
      <c r="V199" s="14">
        <f t="shared" ca="1" si="17"/>
        <v>0</v>
      </c>
    </row>
    <row r="200" spans="1:22" x14ac:dyDescent="0.2">
      <c r="A200" s="5">
        <f t="shared" si="12"/>
        <v>193</v>
      </c>
      <c r="B200" s="23"/>
      <c r="C200" s="14">
        <v>0</v>
      </c>
      <c r="D200" s="14">
        <v>0</v>
      </c>
      <c r="E200" s="14">
        <v>0</v>
      </c>
      <c r="F200" s="14">
        <v>0</v>
      </c>
      <c r="G200" s="14">
        <v>0</v>
      </c>
      <c r="H200" s="23"/>
      <c r="I200" s="14">
        <v>0</v>
      </c>
      <c r="J200" s="14">
        <v>0</v>
      </c>
      <c r="K200" s="14">
        <v>0</v>
      </c>
      <c r="L200" s="14">
        <v>0</v>
      </c>
      <c r="M200" s="14">
        <v>0</v>
      </c>
      <c r="N200" s="23"/>
      <c r="O200" s="5">
        <f t="shared" si="13"/>
        <v>193</v>
      </c>
      <c r="P200" s="15">
        <f t="shared" ca="1" si="14"/>
        <v>0</v>
      </c>
      <c r="Q200" s="5">
        <f ca="1">IF(O200&gt;$D$2,0,IF($F$2=Choices!$A$2,IF(O200&gt;$E$2,OFFSET(LiborCurve!$A$1,O200,0)+$C$2,$B$2),$B$2))</f>
        <v>0</v>
      </c>
      <c r="R200" s="14">
        <f t="shared" ca="1" si="15"/>
        <v>0</v>
      </c>
      <c r="S200" s="14">
        <f>IF(O200&gt;$D$2,0,IF($G$2=Choices!$B$1,-PMT(Q200/12,$D$2-(O200-1),P200),0))</f>
        <v>0</v>
      </c>
      <c r="T200" s="14">
        <f ca="1">IF(AND($G$2=Choices!$B$2,O200=$D$2),P200,IF(AND($G$2=Choices!$B$2,O200&lt;$D$2),0,S200-R200))</f>
        <v>0</v>
      </c>
      <c r="U200" s="14">
        <f t="shared" ca="1" si="16"/>
        <v>0</v>
      </c>
      <c r="V200" s="14">
        <f t="shared" ca="1" si="17"/>
        <v>0</v>
      </c>
    </row>
    <row r="201" spans="1:22" x14ac:dyDescent="0.2">
      <c r="A201" s="5">
        <f t="shared" si="12"/>
        <v>194</v>
      </c>
      <c r="B201" s="23"/>
      <c r="C201" s="14">
        <v>0</v>
      </c>
      <c r="D201" s="14">
        <v>0</v>
      </c>
      <c r="E201" s="14">
        <v>0</v>
      </c>
      <c r="F201" s="14">
        <v>0</v>
      </c>
      <c r="G201" s="14">
        <v>0</v>
      </c>
      <c r="H201" s="23"/>
      <c r="I201" s="14">
        <v>0</v>
      </c>
      <c r="J201" s="14">
        <v>0</v>
      </c>
      <c r="K201" s="14">
        <v>0</v>
      </c>
      <c r="L201" s="14">
        <v>0</v>
      </c>
      <c r="M201" s="14">
        <v>0</v>
      </c>
      <c r="N201" s="23"/>
      <c r="O201" s="5">
        <f t="shared" si="13"/>
        <v>194</v>
      </c>
      <c r="P201" s="15">
        <f t="shared" ca="1" si="14"/>
        <v>0</v>
      </c>
      <c r="Q201" s="5">
        <f ca="1">IF(O201&gt;$D$2,0,IF($F$2=Choices!$A$2,IF(O201&gt;$E$2,OFFSET(LiborCurve!$A$1,O201,0)+$C$2,$B$2),$B$2))</f>
        <v>0</v>
      </c>
      <c r="R201" s="14">
        <f t="shared" ca="1" si="15"/>
        <v>0</v>
      </c>
      <c r="S201" s="14">
        <f>IF(O201&gt;$D$2,0,IF($G$2=Choices!$B$1,-PMT(Q201/12,$D$2-(O201-1),P201),0))</f>
        <v>0</v>
      </c>
      <c r="T201" s="14">
        <f ca="1">IF(AND($G$2=Choices!$B$2,O201=$D$2),P201,IF(AND($G$2=Choices!$B$2,O201&lt;$D$2),0,S201-R201))</f>
        <v>0</v>
      </c>
      <c r="U201" s="14">
        <f t="shared" ca="1" si="16"/>
        <v>0</v>
      </c>
      <c r="V201" s="14">
        <f t="shared" ca="1" si="17"/>
        <v>0</v>
      </c>
    </row>
    <row r="202" spans="1:22" x14ac:dyDescent="0.2">
      <c r="A202" s="5">
        <f t="shared" ref="A202:A265" si="18">A201+1</f>
        <v>195</v>
      </c>
      <c r="B202" s="23"/>
      <c r="C202" s="14">
        <v>0</v>
      </c>
      <c r="D202" s="14">
        <v>0</v>
      </c>
      <c r="E202" s="14">
        <v>0</v>
      </c>
      <c r="F202" s="14">
        <v>0</v>
      </c>
      <c r="G202" s="14">
        <v>0</v>
      </c>
      <c r="H202" s="23"/>
      <c r="I202" s="14">
        <v>0</v>
      </c>
      <c r="J202" s="14">
        <v>0</v>
      </c>
      <c r="K202" s="14">
        <v>0</v>
      </c>
      <c r="L202" s="14">
        <v>0</v>
      </c>
      <c r="M202" s="14">
        <v>0</v>
      </c>
      <c r="N202" s="23"/>
      <c r="O202" s="5">
        <f t="shared" ref="O202:O265" si="19">O201+1</f>
        <v>195</v>
      </c>
      <c r="P202" s="15">
        <f t="shared" ref="P202:P265" ca="1" si="20">V201</f>
        <v>0</v>
      </c>
      <c r="Q202" s="5">
        <f ca="1">IF(O202&gt;$D$2,0,IF($F$2=Choices!$A$2,IF(O202&gt;$E$2,OFFSET(LiborCurve!$A$1,O202,0)+$C$2,$B$2),$B$2))</f>
        <v>0</v>
      </c>
      <c r="R202" s="14">
        <f t="shared" ref="R202:R265" ca="1" si="21">P202*Q202/12</f>
        <v>0</v>
      </c>
      <c r="S202" s="14">
        <f>IF(O202&gt;$D$2,0,IF($G$2=Choices!$B$1,-PMT(Q202/12,$D$2-(O202-1),P202),0))</f>
        <v>0</v>
      </c>
      <c r="T202" s="14">
        <f ca="1">IF(AND($G$2=Choices!$B$2,O202=$D$2),P202,IF(AND($G$2=Choices!$B$2,O202&lt;$D$2),0,S202-R202))</f>
        <v>0</v>
      </c>
      <c r="U202" s="14">
        <f t="shared" ref="U202:U265" ca="1" si="22">R202+T202</f>
        <v>0</v>
      </c>
      <c r="V202" s="14">
        <f t="shared" ref="V202:V265" ca="1" si="23">P202-T202</f>
        <v>0</v>
      </c>
    </row>
    <row r="203" spans="1:22" x14ac:dyDescent="0.2">
      <c r="A203" s="5">
        <f t="shared" si="18"/>
        <v>196</v>
      </c>
      <c r="B203" s="23"/>
      <c r="C203" s="14">
        <v>0</v>
      </c>
      <c r="D203" s="14">
        <v>0</v>
      </c>
      <c r="E203" s="14">
        <v>0</v>
      </c>
      <c r="F203" s="14">
        <v>0</v>
      </c>
      <c r="G203" s="14">
        <v>0</v>
      </c>
      <c r="H203" s="23"/>
      <c r="I203" s="14">
        <v>0</v>
      </c>
      <c r="J203" s="14">
        <v>0</v>
      </c>
      <c r="K203" s="14">
        <v>0</v>
      </c>
      <c r="L203" s="14">
        <v>0</v>
      </c>
      <c r="M203" s="14">
        <v>0</v>
      </c>
      <c r="N203" s="23"/>
      <c r="O203" s="5">
        <f t="shared" si="19"/>
        <v>196</v>
      </c>
      <c r="P203" s="15">
        <f t="shared" ca="1" si="20"/>
        <v>0</v>
      </c>
      <c r="Q203" s="5">
        <f ca="1">IF(O203&gt;$D$2,0,IF($F$2=Choices!$A$2,IF(O203&gt;$E$2,OFFSET(LiborCurve!$A$1,O203,0)+$C$2,$B$2),$B$2))</f>
        <v>0</v>
      </c>
      <c r="R203" s="14">
        <f t="shared" ca="1" si="21"/>
        <v>0</v>
      </c>
      <c r="S203" s="14">
        <f>IF(O203&gt;$D$2,0,IF($G$2=Choices!$B$1,-PMT(Q203/12,$D$2-(O203-1),P203),0))</f>
        <v>0</v>
      </c>
      <c r="T203" s="14">
        <f ca="1">IF(AND($G$2=Choices!$B$2,O203=$D$2),P203,IF(AND($G$2=Choices!$B$2,O203&lt;$D$2),0,S203-R203))</f>
        <v>0</v>
      </c>
      <c r="U203" s="14">
        <f t="shared" ca="1" si="22"/>
        <v>0</v>
      </c>
      <c r="V203" s="14">
        <f t="shared" ca="1" si="23"/>
        <v>0</v>
      </c>
    </row>
    <row r="204" spans="1:22" x14ac:dyDescent="0.2">
      <c r="A204" s="5">
        <f t="shared" si="18"/>
        <v>197</v>
      </c>
      <c r="B204" s="23"/>
      <c r="C204" s="14">
        <v>0</v>
      </c>
      <c r="D204" s="14">
        <v>0</v>
      </c>
      <c r="E204" s="14">
        <v>0</v>
      </c>
      <c r="F204" s="14">
        <v>0</v>
      </c>
      <c r="G204" s="14">
        <v>0</v>
      </c>
      <c r="H204" s="23"/>
      <c r="I204" s="14">
        <v>0</v>
      </c>
      <c r="J204" s="14">
        <v>0</v>
      </c>
      <c r="K204" s="14">
        <v>0</v>
      </c>
      <c r="L204" s="14">
        <v>0</v>
      </c>
      <c r="M204" s="14">
        <v>0</v>
      </c>
      <c r="N204" s="23"/>
      <c r="O204" s="5">
        <f t="shared" si="19"/>
        <v>197</v>
      </c>
      <c r="P204" s="15">
        <f t="shared" ca="1" si="20"/>
        <v>0</v>
      </c>
      <c r="Q204" s="5">
        <f ca="1">IF(O204&gt;$D$2,0,IF($F$2=Choices!$A$2,IF(O204&gt;$E$2,OFFSET(LiborCurve!$A$1,O204,0)+$C$2,$B$2),$B$2))</f>
        <v>0</v>
      </c>
      <c r="R204" s="14">
        <f t="shared" ca="1" si="21"/>
        <v>0</v>
      </c>
      <c r="S204" s="14">
        <f>IF(O204&gt;$D$2,0,IF($G$2=Choices!$B$1,-PMT(Q204/12,$D$2-(O204-1),P204),0))</f>
        <v>0</v>
      </c>
      <c r="T204" s="14">
        <f ca="1">IF(AND($G$2=Choices!$B$2,O204=$D$2),P204,IF(AND($G$2=Choices!$B$2,O204&lt;$D$2),0,S204-R204))</f>
        <v>0</v>
      </c>
      <c r="U204" s="14">
        <f t="shared" ca="1" si="22"/>
        <v>0</v>
      </c>
      <c r="V204" s="14">
        <f t="shared" ca="1" si="23"/>
        <v>0</v>
      </c>
    </row>
    <row r="205" spans="1:22" x14ac:dyDescent="0.2">
      <c r="A205" s="5">
        <f t="shared" si="18"/>
        <v>198</v>
      </c>
      <c r="B205" s="23"/>
      <c r="C205" s="14">
        <v>0</v>
      </c>
      <c r="D205" s="14">
        <v>0</v>
      </c>
      <c r="E205" s="14">
        <v>0</v>
      </c>
      <c r="F205" s="14">
        <v>0</v>
      </c>
      <c r="G205" s="14">
        <v>0</v>
      </c>
      <c r="H205" s="23"/>
      <c r="I205" s="14">
        <v>0</v>
      </c>
      <c r="J205" s="14">
        <v>0</v>
      </c>
      <c r="K205" s="14">
        <v>0</v>
      </c>
      <c r="L205" s="14">
        <v>0</v>
      </c>
      <c r="M205" s="14">
        <v>0</v>
      </c>
      <c r="N205" s="23"/>
      <c r="O205" s="5">
        <f t="shared" si="19"/>
        <v>198</v>
      </c>
      <c r="P205" s="15">
        <f t="shared" ca="1" si="20"/>
        <v>0</v>
      </c>
      <c r="Q205" s="5">
        <f ca="1">IF(O205&gt;$D$2,0,IF($F$2=Choices!$A$2,IF(O205&gt;$E$2,OFFSET(LiborCurve!$A$1,O205,0)+$C$2,$B$2),$B$2))</f>
        <v>0</v>
      </c>
      <c r="R205" s="14">
        <f t="shared" ca="1" si="21"/>
        <v>0</v>
      </c>
      <c r="S205" s="14">
        <f>IF(O205&gt;$D$2,0,IF($G$2=Choices!$B$1,-PMT(Q205/12,$D$2-(O205-1),P205),0))</f>
        <v>0</v>
      </c>
      <c r="T205" s="14">
        <f ca="1">IF(AND($G$2=Choices!$B$2,O205=$D$2),P205,IF(AND($G$2=Choices!$B$2,O205&lt;$D$2),0,S205-R205))</f>
        <v>0</v>
      </c>
      <c r="U205" s="14">
        <f t="shared" ca="1" si="22"/>
        <v>0</v>
      </c>
      <c r="V205" s="14">
        <f t="shared" ca="1" si="23"/>
        <v>0</v>
      </c>
    </row>
    <row r="206" spans="1:22" x14ac:dyDescent="0.2">
      <c r="A206" s="5">
        <f t="shared" si="18"/>
        <v>199</v>
      </c>
      <c r="B206" s="23"/>
      <c r="C206" s="14">
        <v>0</v>
      </c>
      <c r="D206" s="14">
        <v>0</v>
      </c>
      <c r="E206" s="14">
        <v>0</v>
      </c>
      <c r="F206" s="14">
        <v>0</v>
      </c>
      <c r="G206" s="14">
        <v>0</v>
      </c>
      <c r="H206" s="23"/>
      <c r="I206" s="14">
        <v>0</v>
      </c>
      <c r="J206" s="14">
        <v>0</v>
      </c>
      <c r="K206" s="14">
        <v>0</v>
      </c>
      <c r="L206" s="14">
        <v>0</v>
      </c>
      <c r="M206" s="14">
        <v>0</v>
      </c>
      <c r="N206" s="23"/>
      <c r="O206" s="5">
        <f t="shared" si="19"/>
        <v>199</v>
      </c>
      <c r="P206" s="15">
        <f t="shared" ca="1" si="20"/>
        <v>0</v>
      </c>
      <c r="Q206" s="5">
        <f ca="1">IF(O206&gt;$D$2,0,IF($F$2=Choices!$A$2,IF(O206&gt;$E$2,OFFSET(LiborCurve!$A$1,O206,0)+$C$2,$B$2),$B$2))</f>
        <v>0</v>
      </c>
      <c r="R206" s="14">
        <f t="shared" ca="1" si="21"/>
        <v>0</v>
      </c>
      <c r="S206" s="14">
        <f>IF(O206&gt;$D$2,0,IF($G$2=Choices!$B$1,-PMT(Q206/12,$D$2-(O206-1),P206),0))</f>
        <v>0</v>
      </c>
      <c r="T206" s="14">
        <f ca="1">IF(AND($G$2=Choices!$B$2,O206=$D$2),P206,IF(AND($G$2=Choices!$B$2,O206&lt;$D$2),0,S206-R206))</f>
        <v>0</v>
      </c>
      <c r="U206" s="14">
        <f t="shared" ca="1" si="22"/>
        <v>0</v>
      </c>
      <c r="V206" s="14">
        <f t="shared" ca="1" si="23"/>
        <v>0</v>
      </c>
    </row>
    <row r="207" spans="1:22" x14ac:dyDescent="0.2">
      <c r="A207" s="5">
        <f t="shared" si="18"/>
        <v>200</v>
      </c>
      <c r="B207" s="23"/>
      <c r="C207" s="14">
        <v>0</v>
      </c>
      <c r="D207" s="14">
        <v>0</v>
      </c>
      <c r="E207" s="14">
        <v>0</v>
      </c>
      <c r="F207" s="14">
        <v>0</v>
      </c>
      <c r="G207" s="14">
        <v>0</v>
      </c>
      <c r="H207" s="23"/>
      <c r="I207" s="14">
        <v>0</v>
      </c>
      <c r="J207" s="14">
        <v>0</v>
      </c>
      <c r="K207" s="14">
        <v>0</v>
      </c>
      <c r="L207" s="14">
        <v>0</v>
      </c>
      <c r="M207" s="14">
        <v>0</v>
      </c>
      <c r="N207" s="23"/>
      <c r="O207" s="5">
        <f t="shared" si="19"/>
        <v>200</v>
      </c>
      <c r="P207" s="15">
        <f t="shared" ca="1" si="20"/>
        <v>0</v>
      </c>
      <c r="Q207" s="5">
        <f ca="1">IF(O207&gt;$D$2,0,IF($F$2=Choices!$A$2,IF(O207&gt;$E$2,OFFSET(LiborCurve!$A$1,O207,0)+$C$2,$B$2),$B$2))</f>
        <v>0</v>
      </c>
      <c r="R207" s="14">
        <f t="shared" ca="1" si="21"/>
        <v>0</v>
      </c>
      <c r="S207" s="14">
        <f>IF(O207&gt;$D$2,0,IF($G$2=Choices!$B$1,-PMT(Q207/12,$D$2-(O207-1),P207),0))</f>
        <v>0</v>
      </c>
      <c r="T207" s="14">
        <f ca="1">IF(AND($G$2=Choices!$B$2,O207=$D$2),P207,IF(AND($G$2=Choices!$B$2,O207&lt;$D$2),0,S207-R207))</f>
        <v>0</v>
      </c>
      <c r="U207" s="14">
        <f t="shared" ca="1" si="22"/>
        <v>0</v>
      </c>
      <c r="V207" s="14">
        <f t="shared" ca="1" si="23"/>
        <v>0</v>
      </c>
    </row>
    <row r="208" spans="1:22" x14ac:dyDescent="0.2">
      <c r="A208" s="5">
        <f t="shared" si="18"/>
        <v>201</v>
      </c>
      <c r="B208" s="23"/>
      <c r="C208" s="14">
        <v>0</v>
      </c>
      <c r="D208" s="14">
        <v>0</v>
      </c>
      <c r="E208" s="14">
        <v>0</v>
      </c>
      <c r="F208" s="14">
        <v>0</v>
      </c>
      <c r="G208" s="14">
        <v>0</v>
      </c>
      <c r="H208" s="23"/>
      <c r="I208" s="14">
        <v>0</v>
      </c>
      <c r="J208" s="14">
        <v>0</v>
      </c>
      <c r="K208" s="14">
        <v>0</v>
      </c>
      <c r="L208" s="14">
        <v>0</v>
      </c>
      <c r="M208" s="14">
        <v>0</v>
      </c>
      <c r="N208" s="23"/>
      <c r="O208" s="5">
        <f t="shared" si="19"/>
        <v>201</v>
      </c>
      <c r="P208" s="15">
        <f t="shared" ca="1" si="20"/>
        <v>0</v>
      </c>
      <c r="Q208" s="5">
        <f ca="1">IF(O208&gt;$D$2,0,IF($F$2=Choices!$A$2,IF(O208&gt;$E$2,OFFSET(LiborCurve!$A$1,O208,0)+$C$2,$B$2),$B$2))</f>
        <v>0</v>
      </c>
      <c r="R208" s="14">
        <f t="shared" ca="1" si="21"/>
        <v>0</v>
      </c>
      <c r="S208" s="14">
        <f>IF(O208&gt;$D$2,0,IF($G$2=Choices!$B$1,-PMT(Q208/12,$D$2-(O208-1),P208),0))</f>
        <v>0</v>
      </c>
      <c r="T208" s="14">
        <f ca="1">IF(AND($G$2=Choices!$B$2,O208=$D$2),P208,IF(AND($G$2=Choices!$B$2,O208&lt;$D$2),0,S208-R208))</f>
        <v>0</v>
      </c>
      <c r="U208" s="14">
        <f t="shared" ca="1" si="22"/>
        <v>0</v>
      </c>
      <c r="V208" s="14">
        <f t="shared" ca="1" si="23"/>
        <v>0</v>
      </c>
    </row>
    <row r="209" spans="1:22" x14ac:dyDescent="0.2">
      <c r="A209" s="5">
        <f t="shared" si="18"/>
        <v>202</v>
      </c>
      <c r="B209" s="23"/>
      <c r="C209" s="14">
        <v>0</v>
      </c>
      <c r="D209" s="14">
        <v>0</v>
      </c>
      <c r="E209" s="14">
        <v>0</v>
      </c>
      <c r="F209" s="14">
        <v>0</v>
      </c>
      <c r="G209" s="14">
        <v>0</v>
      </c>
      <c r="H209" s="23"/>
      <c r="I209" s="14">
        <v>0</v>
      </c>
      <c r="J209" s="14">
        <v>0</v>
      </c>
      <c r="K209" s="14">
        <v>0</v>
      </c>
      <c r="L209" s="14">
        <v>0</v>
      </c>
      <c r="M209" s="14">
        <v>0</v>
      </c>
      <c r="N209" s="23"/>
      <c r="O209" s="5">
        <f t="shared" si="19"/>
        <v>202</v>
      </c>
      <c r="P209" s="15">
        <f t="shared" ca="1" si="20"/>
        <v>0</v>
      </c>
      <c r="Q209" s="5">
        <f ca="1">IF(O209&gt;$D$2,0,IF($F$2=Choices!$A$2,IF(O209&gt;$E$2,OFFSET(LiborCurve!$A$1,O209,0)+$C$2,$B$2),$B$2))</f>
        <v>0</v>
      </c>
      <c r="R209" s="14">
        <f t="shared" ca="1" si="21"/>
        <v>0</v>
      </c>
      <c r="S209" s="14">
        <f>IF(O209&gt;$D$2,0,IF($G$2=Choices!$B$1,-PMT(Q209/12,$D$2-(O209-1),P209),0))</f>
        <v>0</v>
      </c>
      <c r="T209" s="14">
        <f ca="1">IF(AND($G$2=Choices!$B$2,O209=$D$2),P209,IF(AND($G$2=Choices!$B$2,O209&lt;$D$2),0,S209-R209))</f>
        <v>0</v>
      </c>
      <c r="U209" s="14">
        <f t="shared" ca="1" si="22"/>
        <v>0</v>
      </c>
      <c r="V209" s="14">
        <f t="shared" ca="1" si="23"/>
        <v>0</v>
      </c>
    </row>
    <row r="210" spans="1:22" x14ac:dyDescent="0.2">
      <c r="A210" s="5">
        <f t="shared" si="18"/>
        <v>203</v>
      </c>
      <c r="B210" s="23"/>
      <c r="C210" s="14">
        <v>0</v>
      </c>
      <c r="D210" s="14">
        <v>0</v>
      </c>
      <c r="E210" s="14">
        <v>0</v>
      </c>
      <c r="F210" s="14">
        <v>0</v>
      </c>
      <c r="G210" s="14">
        <v>0</v>
      </c>
      <c r="H210" s="23"/>
      <c r="I210" s="14">
        <v>0</v>
      </c>
      <c r="J210" s="14">
        <v>0</v>
      </c>
      <c r="K210" s="14">
        <v>0</v>
      </c>
      <c r="L210" s="14">
        <v>0</v>
      </c>
      <c r="M210" s="14">
        <v>0</v>
      </c>
      <c r="N210" s="23"/>
      <c r="O210" s="5">
        <f t="shared" si="19"/>
        <v>203</v>
      </c>
      <c r="P210" s="15">
        <f t="shared" ca="1" si="20"/>
        <v>0</v>
      </c>
      <c r="Q210" s="5">
        <f ca="1">IF(O210&gt;$D$2,0,IF($F$2=Choices!$A$2,IF(O210&gt;$E$2,OFFSET(LiborCurve!$A$1,O210,0)+$C$2,$B$2),$B$2))</f>
        <v>0</v>
      </c>
      <c r="R210" s="14">
        <f t="shared" ca="1" si="21"/>
        <v>0</v>
      </c>
      <c r="S210" s="14">
        <f>IF(O210&gt;$D$2,0,IF($G$2=Choices!$B$1,-PMT(Q210/12,$D$2-(O210-1),P210),0))</f>
        <v>0</v>
      </c>
      <c r="T210" s="14">
        <f ca="1">IF(AND($G$2=Choices!$B$2,O210=$D$2),P210,IF(AND($G$2=Choices!$B$2,O210&lt;$D$2),0,S210-R210))</f>
        <v>0</v>
      </c>
      <c r="U210" s="14">
        <f t="shared" ca="1" si="22"/>
        <v>0</v>
      </c>
      <c r="V210" s="14">
        <f t="shared" ca="1" si="23"/>
        <v>0</v>
      </c>
    </row>
    <row r="211" spans="1:22" x14ac:dyDescent="0.2">
      <c r="A211" s="5">
        <f t="shared" si="18"/>
        <v>204</v>
      </c>
      <c r="B211" s="23"/>
      <c r="C211" s="14">
        <v>0</v>
      </c>
      <c r="D211" s="14">
        <v>0</v>
      </c>
      <c r="E211" s="14">
        <v>0</v>
      </c>
      <c r="F211" s="14">
        <v>0</v>
      </c>
      <c r="G211" s="14">
        <v>0</v>
      </c>
      <c r="H211" s="23"/>
      <c r="I211" s="14">
        <v>0</v>
      </c>
      <c r="J211" s="14">
        <v>0</v>
      </c>
      <c r="K211" s="14">
        <v>0</v>
      </c>
      <c r="L211" s="14">
        <v>0</v>
      </c>
      <c r="M211" s="14">
        <v>0</v>
      </c>
      <c r="N211" s="23"/>
      <c r="O211" s="5">
        <f t="shared" si="19"/>
        <v>204</v>
      </c>
      <c r="P211" s="15">
        <f t="shared" ca="1" si="20"/>
        <v>0</v>
      </c>
      <c r="Q211" s="5">
        <f ca="1">IF(O211&gt;$D$2,0,IF($F$2=Choices!$A$2,IF(O211&gt;$E$2,OFFSET(LiborCurve!$A$1,O211,0)+$C$2,$B$2),$B$2))</f>
        <v>0</v>
      </c>
      <c r="R211" s="14">
        <f t="shared" ca="1" si="21"/>
        <v>0</v>
      </c>
      <c r="S211" s="14">
        <f>IF(O211&gt;$D$2,0,IF($G$2=Choices!$B$1,-PMT(Q211/12,$D$2-(O211-1),P211),0))</f>
        <v>0</v>
      </c>
      <c r="T211" s="14">
        <f ca="1">IF(AND($G$2=Choices!$B$2,O211=$D$2),P211,IF(AND($G$2=Choices!$B$2,O211&lt;$D$2),0,S211-R211))</f>
        <v>0</v>
      </c>
      <c r="U211" s="14">
        <f t="shared" ca="1" si="22"/>
        <v>0</v>
      </c>
      <c r="V211" s="14">
        <f t="shared" ca="1" si="23"/>
        <v>0</v>
      </c>
    </row>
    <row r="212" spans="1:22" x14ac:dyDescent="0.2">
      <c r="A212" s="5">
        <f t="shared" si="18"/>
        <v>205</v>
      </c>
      <c r="B212" s="23"/>
      <c r="C212" s="14">
        <v>0</v>
      </c>
      <c r="D212" s="14">
        <v>0</v>
      </c>
      <c r="E212" s="14">
        <v>0</v>
      </c>
      <c r="F212" s="14">
        <v>0</v>
      </c>
      <c r="G212" s="14">
        <v>0</v>
      </c>
      <c r="H212" s="23"/>
      <c r="I212" s="14">
        <v>0</v>
      </c>
      <c r="J212" s="14">
        <v>0</v>
      </c>
      <c r="K212" s="14">
        <v>0</v>
      </c>
      <c r="L212" s="14">
        <v>0</v>
      </c>
      <c r="M212" s="14">
        <v>0</v>
      </c>
      <c r="N212" s="23"/>
      <c r="O212" s="5">
        <f t="shared" si="19"/>
        <v>205</v>
      </c>
      <c r="P212" s="15">
        <f t="shared" ca="1" si="20"/>
        <v>0</v>
      </c>
      <c r="Q212" s="5">
        <f ca="1">IF(O212&gt;$D$2,0,IF($F$2=Choices!$A$2,IF(O212&gt;$E$2,OFFSET(LiborCurve!$A$1,O212,0)+$C$2,$B$2),$B$2))</f>
        <v>0</v>
      </c>
      <c r="R212" s="14">
        <f t="shared" ca="1" si="21"/>
        <v>0</v>
      </c>
      <c r="S212" s="14">
        <f>IF(O212&gt;$D$2,0,IF($G$2=Choices!$B$1,-PMT(Q212/12,$D$2-(O212-1),P212),0))</f>
        <v>0</v>
      </c>
      <c r="T212" s="14">
        <f ca="1">IF(AND($G$2=Choices!$B$2,O212=$D$2),P212,IF(AND($G$2=Choices!$B$2,O212&lt;$D$2),0,S212-R212))</f>
        <v>0</v>
      </c>
      <c r="U212" s="14">
        <f t="shared" ca="1" si="22"/>
        <v>0</v>
      </c>
      <c r="V212" s="14">
        <f t="shared" ca="1" si="23"/>
        <v>0</v>
      </c>
    </row>
    <row r="213" spans="1:22" x14ac:dyDescent="0.2">
      <c r="A213" s="5">
        <f t="shared" si="18"/>
        <v>206</v>
      </c>
      <c r="B213" s="23"/>
      <c r="C213" s="14">
        <v>0</v>
      </c>
      <c r="D213" s="14">
        <v>0</v>
      </c>
      <c r="E213" s="14">
        <v>0</v>
      </c>
      <c r="F213" s="14">
        <v>0</v>
      </c>
      <c r="G213" s="14">
        <v>0</v>
      </c>
      <c r="H213" s="23"/>
      <c r="I213" s="14">
        <v>0</v>
      </c>
      <c r="J213" s="14">
        <v>0</v>
      </c>
      <c r="K213" s="14">
        <v>0</v>
      </c>
      <c r="L213" s="14">
        <v>0</v>
      </c>
      <c r="M213" s="14">
        <v>0</v>
      </c>
      <c r="N213" s="23"/>
      <c r="O213" s="5">
        <f t="shared" si="19"/>
        <v>206</v>
      </c>
      <c r="P213" s="15">
        <f t="shared" ca="1" si="20"/>
        <v>0</v>
      </c>
      <c r="Q213" s="5">
        <f ca="1">IF(O213&gt;$D$2,0,IF($F$2=Choices!$A$2,IF(O213&gt;$E$2,OFFSET(LiborCurve!$A$1,O213,0)+$C$2,$B$2),$B$2))</f>
        <v>0</v>
      </c>
      <c r="R213" s="14">
        <f t="shared" ca="1" si="21"/>
        <v>0</v>
      </c>
      <c r="S213" s="14">
        <f>IF(O213&gt;$D$2,0,IF($G$2=Choices!$B$1,-PMT(Q213/12,$D$2-(O213-1),P213),0))</f>
        <v>0</v>
      </c>
      <c r="T213" s="14">
        <f ca="1">IF(AND($G$2=Choices!$B$2,O213=$D$2),P213,IF(AND($G$2=Choices!$B$2,O213&lt;$D$2),0,S213-R213))</f>
        <v>0</v>
      </c>
      <c r="U213" s="14">
        <f t="shared" ca="1" si="22"/>
        <v>0</v>
      </c>
      <c r="V213" s="14">
        <f t="shared" ca="1" si="23"/>
        <v>0</v>
      </c>
    </row>
    <row r="214" spans="1:22" x14ac:dyDescent="0.2">
      <c r="A214" s="5">
        <f t="shared" si="18"/>
        <v>207</v>
      </c>
      <c r="B214" s="23"/>
      <c r="C214" s="14">
        <v>0</v>
      </c>
      <c r="D214" s="14">
        <v>0</v>
      </c>
      <c r="E214" s="14">
        <v>0</v>
      </c>
      <c r="F214" s="14">
        <v>0</v>
      </c>
      <c r="G214" s="14">
        <v>0</v>
      </c>
      <c r="H214" s="23"/>
      <c r="I214" s="14">
        <v>0</v>
      </c>
      <c r="J214" s="14">
        <v>0</v>
      </c>
      <c r="K214" s="14">
        <v>0</v>
      </c>
      <c r="L214" s="14">
        <v>0</v>
      </c>
      <c r="M214" s="14">
        <v>0</v>
      </c>
      <c r="N214" s="23"/>
      <c r="O214" s="5">
        <f t="shared" si="19"/>
        <v>207</v>
      </c>
      <c r="P214" s="15">
        <f t="shared" ca="1" si="20"/>
        <v>0</v>
      </c>
      <c r="Q214" s="5">
        <f ca="1">IF(O214&gt;$D$2,0,IF($F$2=Choices!$A$2,IF(O214&gt;$E$2,OFFSET(LiborCurve!$A$1,O214,0)+$C$2,$B$2),$B$2))</f>
        <v>0</v>
      </c>
      <c r="R214" s="14">
        <f t="shared" ca="1" si="21"/>
        <v>0</v>
      </c>
      <c r="S214" s="14">
        <f>IF(O214&gt;$D$2,0,IF($G$2=Choices!$B$1,-PMT(Q214/12,$D$2-(O214-1),P214),0))</f>
        <v>0</v>
      </c>
      <c r="T214" s="14">
        <f ca="1">IF(AND($G$2=Choices!$B$2,O214=$D$2),P214,IF(AND($G$2=Choices!$B$2,O214&lt;$D$2),0,S214-R214))</f>
        <v>0</v>
      </c>
      <c r="U214" s="14">
        <f t="shared" ca="1" si="22"/>
        <v>0</v>
      </c>
      <c r="V214" s="14">
        <f t="shared" ca="1" si="23"/>
        <v>0</v>
      </c>
    </row>
    <row r="215" spans="1:22" x14ac:dyDescent="0.2">
      <c r="A215" s="5">
        <f t="shared" si="18"/>
        <v>208</v>
      </c>
      <c r="B215" s="23"/>
      <c r="C215" s="14">
        <v>0</v>
      </c>
      <c r="D215" s="14">
        <v>0</v>
      </c>
      <c r="E215" s="14">
        <v>0</v>
      </c>
      <c r="F215" s="14">
        <v>0</v>
      </c>
      <c r="G215" s="14">
        <v>0</v>
      </c>
      <c r="H215" s="23"/>
      <c r="I215" s="14">
        <v>0</v>
      </c>
      <c r="J215" s="14">
        <v>0</v>
      </c>
      <c r="K215" s="14">
        <v>0</v>
      </c>
      <c r="L215" s="14">
        <v>0</v>
      </c>
      <c r="M215" s="14">
        <v>0</v>
      </c>
      <c r="N215" s="23"/>
      <c r="O215" s="5">
        <f t="shared" si="19"/>
        <v>208</v>
      </c>
      <c r="P215" s="15">
        <f t="shared" ca="1" si="20"/>
        <v>0</v>
      </c>
      <c r="Q215" s="5">
        <f ca="1">IF(O215&gt;$D$2,0,IF($F$2=Choices!$A$2,IF(O215&gt;$E$2,OFFSET(LiborCurve!$A$1,O215,0)+$C$2,$B$2),$B$2))</f>
        <v>0</v>
      </c>
      <c r="R215" s="14">
        <f t="shared" ca="1" si="21"/>
        <v>0</v>
      </c>
      <c r="S215" s="14">
        <f>IF(O215&gt;$D$2,0,IF($G$2=Choices!$B$1,-PMT(Q215/12,$D$2-(O215-1),P215),0))</f>
        <v>0</v>
      </c>
      <c r="T215" s="14">
        <f ca="1">IF(AND($G$2=Choices!$B$2,O215=$D$2),P215,IF(AND($G$2=Choices!$B$2,O215&lt;$D$2),0,S215-R215))</f>
        <v>0</v>
      </c>
      <c r="U215" s="14">
        <f t="shared" ca="1" si="22"/>
        <v>0</v>
      </c>
      <c r="V215" s="14">
        <f t="shared" ca="1" si="23"/>
        <v>0</v>
      </c>
    </row>
    <row r="216" spans="1:22" x14ac:dyDescent="0.2">
      <c r="A216" s="5">
        <f t="shared" si="18"/>
        <v>209</v>
      </c>
      <c r="B216" s="23"/>
      <c r="C216" s="14">
        <v>0</v>
      </c>
      <c r="D216" s="14">
        <v>0</v>
      </c>
      <c r="E216" s="14">
        <v>0</v>
      </c>
      <c r="F216" s="14">
        <v>0</v>
      </c>
      <c r="G216" s="14">
        <v>0</v>
      </c>
      <c r="H216" s="23"/>
      <c r="I216" s="14">
        <v>0</v>
      </c>
      <c r="J216" s="14">
        <v>0</v>
      </c>
      <c r="K216" s="14">
        <v>0</v>
      </c>
      <c r="L216" s="14">
        <v>0</v>
      </c>
      <c r="M216" s="14">
        <v>0</v>
      </c>
      <c r="N216" s="23"/>
      <c r="O216" s="5">
        <f t="shared" si="19"/>
        <v>209</v>
      </c>
      <c r="P216" s="15">
        <f t="shared" ca="1" si="20"/>
        <v>0</v>
      </c>
      <c r="Q216" s="5">
        <f ca="1">IF(O216&gt;$D$2,0,IF($F$2=Choices!$A$2,IF(O216&gt;$E$2,OFFSET(LiborCurve!$A$1,O216,0)+$C$2,$B$2),$B$2))</f>
        <v>0</v>
      </c>
      <c r="R216" s="14">
        <f t="shared" ca="1" si="21"/>
        <v>0</v>
      </c>
      <c r="S216" s="14">
        <f>IF(O216&gt;$D$2,0,IF($G$2=Choices!$B$1,-PMT(Q216/12,$D$2-(O216-1),P216),0))</f>
        <v>0</v>
      </c>
      <c r="T216" s="14">
        <f ca="1">IF(AND($G$2=Choices!$B$2,O216=$D$2),P216,IF(AND($G$2=Choices!$B$2,O216&lt;$D$2),0,S216-R216))</f>
        <v>0</v>
      </c>
      <c r="U216" s="14">
        <f t="shared" ca="1" si="22"/>
        <v>0</v>
      </c>
      <c r="V216" s="14">
        <f t="shared" ca="1" si="23"/>
        <v>0</v>
      </c>
    </row>
    <row r="217" spans="1:22" x14ac:dyDescent="0.2">
      <c r="A217" s="5">
        <f t="shared" si="18"/>
        <v>210</v>
      </c>
      <c r="B217" s="23"/>
      <c r="C217" s="14">
        <v>0</v>
      </c>
      <c r="D217" s="14">
        <v>0</v>
      </c>
      <c r="E217" s="14">
        <v>0</v>
      </c>
      <c r="F217" s="14">
        <v>0</v>
      </c>
      <c r="G217" s="14">
        <v>0</v>
      </c>
      <c r="H217" s="23"/>
      <c r="I217" s="14">
        <v>0</v>
      </c>
      <c r="J217" s="14">
        <v>0</v>
      </c>
      <c r="K217" s="14">
        <v>0</v>
      </c>
      <c r="L217" s="14">
        <v>0</v>
      </c>
      <c r="M217" s="14">
        <v>0</v>
      </c>
      <c r="N217" s="23"/>
      <c r="O217" s="5">
        <f t="shared" si="19"/>
        <v>210</v>
      </c>
      <c r="P217" s="15">
        <f t="shared" ca="1" si="20"/>
        <v>0</v>
      </c>
      <c r="Q217" s="5">
        <f ca="1">IF(O217&gt;$D$2,0,IF($F$2=Choices!$A$2,IF(O217&gt;$E$2,OFFSET(LiborCurve!$A$1,O217,0)+$C$2,$B$2),$B$2))</f>
        <v>0</v>
      </c>
      <c r="R217" s="14">
        <f t="shared" ca="1" si="21"/>
        <v>0</v>
      </c>
      <c r="S217" s="14">
        <f>IF(O217&gt;$D$2,0,IF($G$2=Choices!$B$1,-PMT(Q217/12,$D$2-(O217-1),P217),0))</f>
        <v>0</v>
      </c>
      <c r="T217" s="14">
        <f ca="1">IF(AND($G$2=Choices!$B$2,O217=$D$2),P217,IF(AND($G$2=Choices!$B$2,O217&lt;$D$2),0,S217-R217))</f>
        <v>0</v>
      </c>
      <c r="U217" s="14">
        <f t="shared" ca="1" si="22"/>
        <v>0</v>
      </c>
      <c r="V217" s="14">
        <f t="shared" ca="1" si="23"/>
        <v>0</v>
      </c>
    </row>
    <row r="218" spans="1:22" x14ac:dyDescent="0.2">
      <c r="A218" s="5">
        <f t="shared" si="18"/>
        <v>211</v>
      </c>
      <c r="B218" s="23"/>
      <c r="C218" s="14">
        <v>0</v>
      </c>
      <c r="D218" s="14">
        <v>0</v>
      </c>
      <c r="E218" s="14">
        <v>0</v>
      </c>
      <c r="F218" s="14">
        <v>0</v>
      </c>
      <c r="G218" s="14">
        <v>0</v>
      </c>
      <c r="H218" s="23"/>
      <c r="I218" s="14">
        <v>0</v>
      </c>
      <c r="J218" s="14">
        <v>0</v>
      </c>
      <c r="K218" s="14">
        <v>0</v>
      </c>
      <c r="L218" s="14">
        <v>0</v>
      </c>
      <c r="M218" s="14">
        <v>0</v>
      </c>
      <c r="N218" s="23"/>
      <c r="O218" s="5">
        <f t="shared" si="19"/>
        <v>211</v>
      </c>
      <c r="P218" s="15">
        <f t="shared" ca="1" si="20"/>
        <v>0</v>
      </c>
      <c r="Q218" s="5">
        <f ca="1">IF(O218&gt;$D$2,0,IF($F$2=Choices!$A$2,IF(O218&gt;$E$2,OFFSET(LiborCurve!$A$1,O218,0)+$C$2,$B$2),$B$2))</f>
        <v>0</v>
      </c>
      <c r="R218" s="14">
        <f t="shared" ca="1" si="21"/>
        <v>0</v>
      </c>
      <c r="S218" s="14">
        <f>IF(O218&gt;$D$2,0,IF($G$2=Choices!$B$1,-PMT(Q218/12,$D$2-(O218-1),P218),0))</f>
        <v>0</v>
      </c>
      <c r="T218" s="14">
        <f ca="1">IF(AND($G$2=Choices!$B$2,O218=$D$2),P218,IF(AND($G$2=Choices!$B$2,O218&lt;$D$2),0,S218-R218))</f>
        <v>0</v>
      </c>
      <c r="U218" s="14">
        <f t="shared" ca="1" si="22"/>
        <v>0</v>
      </c>
      <c r="V218" s="14">
        <f t="shared" ca="1" si="23"/>
        <v>0</v>
      </c>
    </row>
    <row r="219" spans="1:22" x14ac:dyDescent="0.2">
      <c r="A219" s="5">
        <f t="shared" si="18"/>
        <v>212</v>
      </c>
      <c r="B219" s="23"/>
      <c r="C219" s="14">
        <v>0</v>
      </c>
      <c r="D219" s="14">
        <v>0</v>
      </c>
      <c r="E219" s="14">
        <v>0</v>
      </c>
      <c r="F219" s="14">
        <v>0</v>
      </c>
      <c r="G219" s="14">
        <v>0</v>
      </c>
      <c r="H219" s="23"/>
      <c r="I219" s="14">
        <v>0</v>
      </c>
      <c r="J219" s="14">
        <v>0</v>
      </c>
      <c r="K219" s="14">
        <v>0</v>
      </c>
      <c r="L219" s="14">
        <v>0</v>
      </c>
      <c r="M219" s="14">
        <v>0</v>
      </c>
      <c r="N219" s="23"/>
      <c r="O219" s="5">
        <f t="shared" si="19"/>
        <v>212</v>
      </c>
      <c r="P219" s="15">
        <f t="shared" ca="1" si="20"/>
        <v>0</v>
      </c>
      <c r="Q219" s="5">
        <f ca="1">IF(O219&gt;$D$2,0,IF($F$2=Choices!$A$2,IF(O219&gt;$E$2,OFFSET(LiborCurve!$A$1,O219,0)+$C$2,$B$2),$B$2))</f>
        <v>0</v>
      </c>
      <c r="R219" s="14">
        <f t="shared" ca="1" si="21"/>
        <v>0</v>
      </c>
      <c r="S219" s="14">
        <f>IF(O219&gt;$D$2,0,IF($G$2=Choices!$B$1,-PMT(Q219/12,$D$2-(O219-1),P219),0))</f>
        <v>0</v>
      </c>
      <c r="T219" s="14">
        <f ca="1">IF(AND($G$2=Choices!$B$2,O219=$D$2),P219,IF(AND($G$2=Choices!$B$2,O219&lt;$D$2),0,S219-R219))</f>
        <v>0</v>
      </c>
      <c r="U219" s="14">
        <f t="shared" ca="1" si="22"/>
        <v>0</v>
      </c>
      <c r="V219" s="14">
        <f t="shared" ca="1" si="23"/>
        <v>0</v>
      </c>
    </row>
    <row r="220" spans="1:22" x14ac:dyDescent="0.2">
      <c r="A220" s="5">
        <f t="shared" si="18"/>
        <v>213</v>
      </c>
      <c r="B220" s="23"/>
      <c r="C220" s="14">
        <v>0</v>
      </c>
      <c r="D220" s="14">
        <v>0</v>
      </c>
      <c r="E220" s="14">
        <v>0</v>
      </c>
      <c r="F220" s="14">
        <v>0</v>
      </c>
      <c r="G220" s="14">
        <v>0</v>
      </c>
      <c r="H220" s="23"/>
      <c r="I220" s="14">
        <v>0</v>
      </c>
      <c r="J220" s="14">
        <v>0</v>
      </c>
      <c r="K220" s="14">
        <v>0</v>
      </c>
      <c r="L220" s="14">
        <v>0</v>
      </c>
      <c r="M220" s="14">
        <v>0</v>
      </c>
      <c r="N220" s="23"/>
      <c r="O220" s="5">
        <f t="shared" si="19"/>
        <v>213</v>
      </c>
      <c r="P220" s="15">
        <f t="shared" ca="1" si="20"/>
        <v>0</v>
      </c>
      <c r="Q220" s="5">
        <f ca="1">IF(O220&gt;$D$2,0,IF($F$2=Choices!$A$2,IF(O220&gt;$E$2,OFFSET(LiborCurve!$A$1,O220,0)+$C$2,$B$2),$B$2))</f>
        <v>0</v>
      </c>
      <c r="R220" s="14">
        <f t="shared" ca="1" si="21"/>
        <v>0</v>
      </c>
      <c r="S220" s="14">
        <f>IF(O220&gt;$D$2,0,IF($G$2=Choices!$B$1,-PMT(Q220/12,$D$2-(O220-1),P220),0))</f>
        <v>0</v>
      </c>
      <c r="T220" s="14">
        <f ca="1">IF(AND($G$2=Choices!$B$2,O220=$D$2),P220,IF(AND($G$2=Choices!$B$2,O220&lt;$D$2),0,S220-R220))</f>
        <v>0</v>
      </c>
      <c r="U220" s="14">
        <f t="shared" ca="1" si="22"/>
        <v>0</v>
      </c>
      <c r="V220" s="14">
        <f t="shared" ca="1" si="23"/>
        <v>0</v>
      </c>
    </row>
    <row r="221" spans="1:22" x14ac:dyDescent="0.2">
      <c r="A221" s="5">
        <f t="shared" si="18"/>
        <v>214</v>
      </c>
      <c r="B221" s="23"/>
      <c r="C221" s="14">
        <v>0</v>
      </c>
      <c r="D221" s="14">
        <v>0</v>
      </c>
      <c r="E221" s="14">
        <v>0</v>
      </c>
      <c r="F221" s="14">
        <v>0</v>
      </c>
      <c r="G221" s="14">
        <v>0</v>
      </c>
      <c r="H221" s="23"/>
      <c r="I221" s="14">
        <v>0</v>
      </c>
      <c r="J221" s="14">
        <v>0</v>
      </c>
      <c r="K221" s="14">
        <v>0</v>
      </c>
      <c r="L221" s="14">
        <v>0</v>
      </c>
      <c r="M221" s="14">
        <v>0</v>
      </c>
      <c r="N221" s="23"/>
      <c r="O221" s="5">
        <f t="shared" si="19"/>
        <v>214</v>
      </c>
      <c r="P221" s="15">
        <f t="shared" ca="1" si="20"/>
        <v>0</v>
      </c>
      <c r="Q221" s="5">
        <f ca="1">IF(O221&gt;$D$2,0,IF($F$2=Choices!$A$2,IF(O221&gt;$E$2,OFFSET(LiborCurve!$A$1,O221,0)+$C$2,$B$2),$B$2))</f>
        <v>0</v>
      </c>
      <c r="R221" s="14">
        <f t="shared" ca="1" si="21"/>
        <v>0</v>
      </c>
      <c r="S221" s="14">
        <f>IF(O221&gt;$D$2,0,IF($G$2=Choices!$B$1,-PMT(Q221/12,$D$2-(O221-1),P221),0))</f>
        <v>0</v>
      </c>
      <c r="T221" s="14">
        <f ca="1">IF(AND($G$2=Choices!$B$2,O221=$D$2),P221,IF(AND($G$2=Choices!$B$2,O221&lt;$D$2),0,S221-R221))</f>
        <v>0</v>
      </c>
      <c r="U221" s="14">
        <f t="shared" ca="1" si="22"/>
        <v>0</v>
      </c>
      <c r="V221" s="14">
        <f t="shared" ca="1" si="23"/>
        <v>0</v>
      </c>
    </row>
    <row r="222" spans="1:22" x14ac:dyDescent="0.2">
      <c r="A222" s="5">
        <f t="shared" si="18"/>
        <v>215</v>
      </c>
      <c r="B222" s="23"/>
      <c r="C222" s="14">
        <v>0</v>
      </c>
      <c r="D222" s="14">
        <v>0</v>
      </c>
      <c r="E222" s="14">
        <v>0</v>
      </c>
      <c r="F222" s="14">
        <v>0</v>
      </c>
      <c r="G222" s="14">
        <v>0</v>
      </c>
      <c r="H222" s="23"/>
      <c r="I222" s="14">
        <v>0</v>
      </c>
      <c r="J222" s="14">
        <v>0</v>
      </c>
      <c r="K222" s="14">
        <v>0</v>
      </c>
      <c r="L222" s="14">
        <v>0</v>
      </c>
      <c r="M222" s="14">
        <v>0</v>
      </c>
      <c r="N222" s="23"/>
      <c r="O222" s="5">
        <f t="shared" si="19"/>
        <v>215</v>
      </c>
      <c r="P222" s="15">
        <f t="shared" ca="1" si="20"/>
        <v>0</v>
      </c>
      <c r="Q222" s="5">
        <f ca="1">IF(O222&gt;$D$2,0,IF($F$2=Choices!$A$2,IF(O222&gt;$E$2,OFFSET(LiborCurve!$A$1,O222,0)+$C$2,$B$2),$B$2))</f>
        <v>0</v>
      </c>
      <c r="R222" s="14">
        <f t="shared" ca="1" si="21"/>
        <v>0</v>
      </c>
      <c r="S222" s="14">
        <f>IF(O222&gt;$D$2,0,IF($G$2=Choices!$B$1,-PMT(Q222/12,$D$2-(O222-1),P222),0))</f>
        <v>0</v>
      </c>
      <c r="T222" s="14">
        <f ca="1">IF(AND($G$2=Choices!$B$2,O222=$D$2),P222,IF(AND($G$2=Choices!$B$2,O222&lt;$D$2),0,S222-R222))</f>
        <v>0</v>
      </c>
      <c r="U222" s="14">
        <f t="shared" ca="1" si="22"/>
        <v>0</v>
      </c>
      <c r="V222" s="14">
        <f t="shared" ca="1" si="23"/>
        <v>0</v>
      </c>
    </row>
    <row r="223" spans="1:22" x14ac:dyDescent="0.2">
      <c r="A223" s="5">
        <f t="shared" si="18"/>
        <v>216</v>
      </c>
      <c r="B223" s="23"/>
      <c r="C223" s="14">
        <v>0</v>
      </c>
      <c r="D223" s="14">
        <v>0</v>
      </c>
      <c r="E223" s="14">
        <v>0</v>
      </c>
      <c r="F223" s="14">
        <v>0</v>
      </c>
      <c r="G223" s="14">
        <v>0</v>
      </c>
      <c r="H223" s="23"/>
      <c r="I223" s="14">
        <v>0</v>
      </c>
      <c r="J223" s="14">
        <v>0</v>
      </c>
      <c r="K223" s="14">
        <v>0</v>
      </c>
      <c r="L223" s="14">
        <v>0</v>
      </c>
      <c r="M223" s="14">
        <v>0</v>
      </c>
      <c r="N223" s="23"/>
      <c r="O223" s="5">
        <f t="shared" si="19"/>
        <v>216</v>
      </c>
      <c r="P223" s="15">
        <f t="shared" ca="1" si="20"/>
        <v>0</v>
      </c>
      <c r="Q223" s="5">
        <f ca="1">IF(O223&gt;$D$2,0,IF($F$2=Choices!$A$2,IF(O223&gt;$E$2,OFFSET(LiborCurve!$A$1,O223,0)+$C$2,$B$2),$B$2))</f>
        <v>0</v>
      </c>
      <c r="R223" s="14">
        <f t="shared" ca="1" si="21"/>
        <v>0</v>
      </c>
      <c r="S223" s="14">
        <f>IF(O223&gt;$D$2,0,IF($G$2=Choices!$B$1,-PMT(Q223/12,$D$2-(O223-1),P223),0))</f>
        <v>0</v>
      </c>
      <c r="T223" s="14">
        <f ca="1">IF(AND($G$2=Choices!$B$2,O223=$D$2),P223,IF(AND($G$2=Choices!$B$2,O223&lt;$D$2),0,S223-R223))</f>
        <v>0</v>
      </c>
      <c r="U223" s="14">
        <f t="shared" ca="1" si="22"/>
        <v>0</v>
      </c>
      <c r="V223" s="14">
        <f t="shared" ca="1" si="23"/>
        <v>0</v>
      </c>
    </row>
    <row r="224" spans="1:22" x14ac:dyDescent="0.2">
      <c r="A224" s="5">
        <f t="shared" si="18"/>
        <v>217</v>
      </c>
      <c r="B224" s="23"/>
      <c r="C224" s="14">
        <v>0</v>
      </c>
      <c r="D224" s="14">
        <v>0</v>
      </c>
      <c r="E224" s="14">
        <v>0</v>
      </c>
      <c r="F224" s="14">
        <v>0</v>
      </c>
      <c r="G224" s="14">
        <v>0</v>
      </c>
      <c r="H224" s="23"/>
      <c r="I224" s="14">
        <v>0</v>
      </c>
      <c r="J224" s="14">
        <v>0</v>
      </c>
      <c r="K224" s="14">
        <v>0</v>
      </c>
      <c r="L224" s="14">
        <v>0</v>
      </c>
      <c r="M224" s="14">
        <v>0</v>
      </c>
      <c r="N224" s="23"/>
      <c r="O224" s="5">
        <f t="shared" si="19"/>
        <v>217</v>
      </c>
      <c r="P224" s="15">
        <f t="shared" ca="1" si="20"/>
        <v>0</v>
      </c>
      <c r="Q224" s="5">
        <f ca="1">IF(O224&gt;$D$2,0,IF($F$2=Choices!$A$2,IF(O224&gt;$E$2,OFFSET(LiborCurve!$A$1,O224,0)+$C$2,$B$2),$B$2))</f>
        <v>0</v>
      </c>
      <c r="R224" s="14">
        <f t="shared" ca="1" si="21"/>
        <v>0</v>
      </c>
      <c r="S224" s="14">
        <f>IF(O224&gt;$D$2,0,IF($G$2=Choices!$B$1,-PMT(Q224/12,$D$2-(O224-1),P224),0))</f>
        <v>0</v>
      </c>
      <c r="T224" s="14">
        <f ca="1">IF(AND($G$2=Choices!$B$2,O224=$D$2),P224,IF(AND($G$2=Choices!$B$2,O224&lt;$D$2),0,S224-R224))</f>
        <v>0</v>
      </c>
      <c r="U224" s="14">
        <f t="shared" ca="1" si="22"/>
        <v>0</v>
      </c>
      <c r="V224" s="14">
        <f t="shared" ca="1" si="23"/>
        <v>0</v>
      </c>
    </row>
    <row r="225" spans="1:22" x14ac:dyDescent="0.2">
      <c r="A225" s="5">
        <f t="shared" si="18"/>
        <v>218</v>
      </c>
      <c r="B225" s="23"/>
      <c r="C225" s="14">
        <v>0</v>
      </c>
      <c r="D225" s="14">
        <v>0</v>
      </c>
      <c r="E225" s="14">
        <v>0</v>
      </c>
      <c r="F225" s="14">
        <v>0</v>
      </c>
      <c r="G225" s="14">
        <v>0</v>
      </c>
      <c r="H225" s="23"/>
      <c r="I225" s="14">
        <v>0</v>
      </c>
      <c r="J225" s="14">
        <v>0</v>
      </c>
      <c r="K225" s="14">
        <v>0</v>
      </c>
      <c r="L225" s="14">
        <v>0</v>
      </c>
      <c r="M225" s="14">
        <v>0</v>
      </c>
      <c r="N225" s="23"/>
      <c r="O225" s="5">
        <f t="shared" si="19"/>
        <v>218</v>
      </c>
      <c r="P225" s="15">
        <f t="shared" ca="1" si="20"/>
        <v>0</v>
      </c>
      <c r="Q225" s="5">
        <f ca="1">IF(O225&gt;$D$2,0,IF($F$2=Choices!$A$2,IF(O225&gt;$E$2,OFFSET(LiborCurve!$A$1,O225,0)+$C$2,$B$2),$B$2))</f>
        <v>0</v>
      </c>
      <c r="R225" s="14">
        <f t="shared" ca="1" si="21"/>
        <v>0</v>
      </c>
      <c r="S225" s="14">
        <f>IF(O225&gt;$D$2,0,IF($G$2=Choices!$B$1,-PMT(Q225/12,$D$2-(O225-1),P225),0))</f>
        <v>0</v>
      </c>
      <c r="T225" s="14">
        <f ca="1">IF(AND($G$2=Choices!$B$2,O225=$D$2),P225,IF(AND($G$2=Choices!$B$2,O225&lt;$D$2),0,S225-R225))</f>
        <v>0</v>
      </c>
      <c r="U225" s="14">
        <f t="shared" ca="1" si="22"/>
        <v>0</v>
      </c>
      <c r="V225" s="14">
        <f t="shared" ca="1" si="23"/>
        <v>0</v>
      </c>
    </row>
    <row r="226" spans="1:22" x14ac:dyDescent="0.2">
      <c r="A226" s="5">
        <f t="shared" si="18"/>
        <v>219</v>
      </c>
      <c r="B226" s="23"/>
      <c r="C226" s="14">
        <v>0</v>
      </c>
      <c r="D226" s="14">
        <v>0</v>
      </c>
      <c r="E226" s="14">
        <v>0</v>
      </c>
      <c r="F226" s="14">
        <v>0</v>
      </c>
      <c r="G226" s="14">
        <v>0</v>
      </c>
      <c r="H226" s="23"/>
      <c r="I226" s="14">
        <v>0</v>
      </c>
      <c r="J226" s="14">
        <v>0</v>
      </c>
      <c r="K226" s="14">
        <v>0</v>
      </c>
      <c r="L226" s="14">
        <v>0</v>
      </c>
      <c r="M226" s="14">
        <v>0</v>
      </c>
      <c r="N226" s="23"/>
      <c r="O226" s="5">
        <f t="shared" si="19"/>
        <v>219</v>
      </c>
      <c r="P226" s="15">
        <f t="shared" ca="1" si="20"/>
        <v>0</v>
      </c>
      <c r="Q226" s="5">
        <f ca="1">IF(O226&gt;$D$2,0,IF($F$2=Choices!$A$2,IF(O226&gt;$E$2,OFFSET(LiborCurve!$A$1,O226,0)+$C$2,$B$2),$B$2))</f>
        <v>0</v>
      </c>
      <c r="R226" s="14">
        <f t="shared" ca="1" si="21"/>
        <v>0</v>
      </c>
      <c r="S226" s="14">
        <f>IF(O226&gt;$D$2,0,IF($G$2=Choices!$B$1,-PMT(Q226/12,$D$2-(O226-1),P226),0))</f>
        <v>0</v>
      </c>
      <c r="T226" s="14">
        <f ca="1">IF(AND($G$2=Choices!$B$2,O226=$D$2),P226,IF(AND($G$2=Choices!$B$2,O226&lt;$D$2),0,S226-R226))</f>
        <v>0</v>
      </c>
      <c r="U226" s="14">
        <f t="shared" ca="1" si="22"/>
        <v>0</v>
      </c>
      <c r="V226" s="14">
        <f t="shared" ca="1" si="23"/>
        <v>0</v>
      </c>
    </row>
    <row r="227" spans="1:22" x14ac:dyDescent="0.2">
      <c r="A227" s="5">
        <f t="shared" si="18"/>
        <v>220</v>
      </c>
      <c r="B227" s="23"/>
      <c r="C227" s="14">
        <v>0</v>
      </c>
      <c r="D227" s="14">
        <v>0</v>
      </c>
      <c r="E227" s="14">
        <v>0</v>
      </c>
      <c r="F227" s="14">
        <v>0</v>
      </c>
      <c r="G227" s="14">
        <v>0</v>
      </c>
      <c r="H227" s="23"/>
      <c r="I227" s="14">
        <v>0</v>
      </c>
      <c r="J227" s="14">
        <v>0</v>
      </c>
      <c r="K227" s="14">
        <v>0</v>
      </c>
      <c r="L227" s="14">
        <v>0</v>
      </c>
      <c r="M227" s="14">
        <v>0</v>
      </c>
      <c r="N227" s="23"/>
      <c r="O227" s="5">
        <f t="shared" si="19"/>
        <v>220</v>
      </c>
      <c r="P227" s="15">
        <f t="shared" ca="1" si="20"/>
        <v>0</v>
      </c>
      <c r="Q227" s="5">
        <f ca="1">IF(O227&gt;$D$2,0,IF($F$2=Choices!$A$2,IF(O227&gt;$E$2,OFFSET(LiborCurve!$A$1,O227,0)+$C$2,$B$2),$B$2))</f>
        <v>0</v>
      </c>
      <c r="R227" s="14">
        <f t="shared" ca="1" si="21"/>
        <v>0</v>
      </c>
      <c r="S227" s="14">
        <f>IF(O227&gt;$D$2,0,IF($G$2=Choices!$B$1,-PMT(Q227/12,$D$2-(O227-1),P227),0))</f>
        <v>0</v>
      </c>
      <c r="T227" s="14">
        <f ca="1">IF(AND($G$2=Choices!$B$2,O227=$D$2),P227,IF(AND($G$2=Choices!$B$2,O227&lt;$D$2),0,S227-R227))</f>
        <v>0</v>
      </c>
      <c r="U227" s="14">
        <f t="shared" ca="1" si="22"/>
        <v>0</v>
      </c>
      <c r="V227" s="14">
        <f t="shared" ca="1" si="23"/>
        <v>0</v>
      </c>
    </row>
    <row r="228" spans="1:22" x14ac:dyDescent="0.2">
      <c r="A228" s="5">
        <f t="shared" si="18"/>
        <v>221</v>
      </c>
      <c r="B228" s="23"/>
      <c r="C228" s="14">
        <v>0</v>
      </c>
      <c r="D228" s="14">
        <v>0</v>
      </c>
      <c r="E228" s="14">
        <v>0</v>
      </c>
      <c r="F228" s="14">
        <v>0</v>
      </c>
      <c r="G228" s="14">
        <v>0</v>
      </c>
      <c r="H228" s="23"/>
      <c r="I228" s="14">
        <v>0</v>
      </c>
      <c r="J228" s="14">
        <v>0</v>
      </c>
      <c r="K228" s="14">
        <v>0</v>
      </c>
      <c r="L228" s="14">
        <v>0</v>
      </c>
      <c r="M228" s="14">
        <v>0</v>
      </c>
      <c r="N228" s="23"/>
      <c r="O228" s="5">
        <f t="shared" si="19"/>
        <v>221</v>
      </c>
      <c r="P228" s="15">
        <f t="shared" ca="1" si="20"/>
        <v>0</v>
      </c>
      <c r="Q228" s="5">
        <f ca="1">IF(O228&gt;$D$2,0,IF($F$2=Choices!$A$2,IF(O228&gt;$E$2,OFFSET(LiborCurve!$A$1,O228,0)+$C$2,$B$2),$B$2))</f>
        <v>0</v>
      </c>
      <c r="R228" s="14">
        <f t="shared" ca="1" si="21"/>
        <v>0</v>
      </c>
      <c r="S228" s="14">
        <f>IF(O228&gt;$D$2,0,IF($G$2=Choices!$B$1,-PMT(Q228/12,$D$2-(O228-1),P228),0))</f>
        <v>0</v>
      </c>
      <c r="T228" s="14">
        <f ca="1">IF(AND($G$2=Choices!$B$2,O228=$D$2),P228,IF(AND($G$2=Choices!$B$2,O228&lt;$D$2),0,S228-R228))</f>
        <v>0</v>
      </c>
      <c r="U228" s="14">
        <f t="shared" ca="1" si="22"/>
        <v>0</v>
      </c>
      <c r="V228" s="14">
        <f t="shared" ca="1" si="23"/>
        <v>0</v>
      </c>
    </row>
    <row r="229" spans="1:22" x14ac:dyDescent="0.2">
      <c r="A229" s="5">
        <f t="shared" si="18"/>
        <v>222</v>
      </c>
      <c r="B229" s="23"/>
      <c r="C229" s="14">
        <v>0</v>
      </c>
      <c r="D229" s="14">
        <v>0</v>
      </c>
      <c r="E229" s="14">
        <v>0</v>
      </c>
      <c r="F229" s="14">
        <v>0</v>
      </c>
      <c r="G229" s="14">
        <v>0</v>
      </c>
      <c r="H229" s="23"/>
      <c r="I229" s="14">
        <v>0</v>
      </c>
      <c r="J229" s="14">
        <v>0</v>
      </c>
      <c r="K229" s="14">
        <v>0</v>
      </c>
      <c r="L229" s="14">
        <v>0</v>
      </c>
      <c r="M229" s="14">
        <v>0</v>
      </c>
      <c r="N229" s="23"/>
      <c r="O229" s="5">
        <f t="shared" si="19"/>
        <v>222</v>
      </c>
      <c r="P229" s="15">
        <f t="shared" ca="1" si="20"/>
        <v>0</v>
      </c>
      <c r="Q229" s="5">
        <f ca="1">IF(O229&gt;$D$2,0,IF($F$2=Choices!$A$2,IF(O229&gt;$E$2,OFFSET(LiborCurve!$A$1,O229,0)+$C$2,$B$2),$B$2))</f>
        <v>0</v>
      </c>
      <c r="R229" s="14">
        <f t="shared" ca="1" si="21"/>
        <v>0</v>
      </c>
      <c r="S229" s="14">
        <f>IF(O229&gt;$D$2,0,IF($G$2=Choices!$B$1,-PMT(Q229/12,$D$2-(O229-1),P229),0))</f>
        <v>0</v>
      </c>
      <c r="T229" s="14">
        <f ca="1">IF(AND($G$2=Choices!$B$2,O229=$D$2),P229,IF(AND($G$2=Choices!$B$2,O229&lt;$D$2),0,S229-R229))</f>
        <v>0</v>
      </c>
      <c r="U229" s="14">
        <f t="shared" ca="1" si="22"/>
        <v>0</v>
      </c>
      <c r="V229" s="14">
        <f t="shared" ca="1" si="23"/>
        <v>0</v>
      </c>
    </row>
    <row r="230" spans="1:22" x14ac:dyDescent="0.2">
      <c r="A230" s="5">
        <f t="shared" si="18"/>
        <v>223</v>
      </c>
      <c r="B230" s="23"/>
      <c r="C230" s="14">
        <v>0</v>
      </c>
      <c r="D230" s="14">
        <v>0</v>
      </c>
      <c r="E230" s="14">
        <v>0</v>
      </c>
      <c r="F230" s="14">
        <v>0</v>
      </c>
      <c r="G230" s="14">
        <v>0</v>
      </c>
      <c r="H230" s="23"/>
      <c r="I230" s="14">
        <v>0</v>
      </c>
      <c r="J230" s="14">
        <v>0</v>
      </c>
      <c r="K230" s="14">
        <v>0</v>
      </c>
      <c r="L230" s="14">
        <v>0</v>
      </c>
      <c r="M230" s="14">
        <v>0</v>
      </c>
      <c r="N230" s="23"/>
      <c r="O230" s="5">
        <f t="shared" si="19"/>
        <v>223</v>
      </c>
      <c r="P230" s="15">
        <f t="shared" ca="1" si="20"/>
        <v>0</v>
      </c>
      <c r="Q230" s="5">
        <f ca="1">IF(O230&gt;$D$2,0,IF($F$2=Choices!$A$2,IF(O230&gt;$E$2,OFFSET(LiborCurve!$A$1,O230,0)+$C$2,$B$2),$B$2))</f>
        <v>0</v>
      </c>
      <c r="R230" s="14">
        <f t="shared" ca="1" si="21"/>
        <v>0</v>
      </c>
      <c r="S230" s="14">
        <f>IF(O230&gt;$D$2,0,IF($G$2=Choices!$B$1,-PMT(Q230/12,$D$2-(O230-1),P230),0))</f>
        <v>0</v>
      </c>
      <c r="T230" s="14">
        <f ca="1">IF(AND($G$2=Choices!$B$2,O230=$D$2),P230,IF(AND($G$2=Choices!$B$2,O230&lt;$D$2),0,S230-R230))</f>
        <v>0</v>
      </c>
      <c r="U230" s="14">
        <f t="shared" ca="1" si="22"/>
        <v>0</v>
      </c>
      <c r="V230" s="14">
        <f t="shared" ca="1" si="23"/>
        <v>0</v>
      </c>
    </row>
    <row r="231" spans="1:22" x14ac:dyDescent="0.2">
      <c r="A231" s="5">
        <f t="shared" si="18"/>
        <v>224</v>
      </c>
      <c r="B231" s="23"/>
      <c r="C231" s="14">
        <v>0</v>
      </c>
      <c r="D231" s="14">
        <v>0</v>
      </c>
      <c r="E231" s="14">
        <v>0</v>
      </c>
      <c r="F231" s="14">
        <v>0</v>
      </c>
      <c r="G231" s="14">
        <v>0</v>
      </c>
      <c r="H231" s="23"/>
      <c r="I231" s="14">
        <v>0</v>
      </c>
      <c r="J231" s="14">
        <v>0</v>
      </c>
      <c r="K231" s="14">
        <v>0</v>
      </c>
      <c r="L231" s="14">
        <v>0</v>
      </c>
      <c r="M231" s="14">
        <v>0</v>
      </c>
      <c r="N231" s="23"/>
      <c r="O231" s="5">
        <f t="shared" si="19"/>
        <v>224</v>
      </c>
      <c r="P231" s="15">
        <f t="shared" ca="1" si="20"/>
        <v>0</v>
      </c>
      <c r="Q231" s="5">
        <f ca="1">IF(O231&gt;$D$2,0,IF($F$2=Choices!$A$2,IF(O231&gt;$E$2,OFFSET(LiborCurve!$A$1,O231,0)+$C$2,$B$2),$B$2))</f>
        <v>0</v>
      </c>
      <c r="R231" s="14">
        <f t="shared" ca="1" si="21"/>
        <v>0</v>
      </c>
      <c r="S231" s="14">
        <f>IF(O231&gt;$D$2,0,IF($G$2=Choices!$B$1,-PMT(Q231/12,$D$2-(O231-1),P231),0))</f>
        <v>0</v>
      </c>
      <c r="T231" s="14">
        <f ca="1">IF(AND($G$2=Choices!$B$2,O231=$D$2),P231,IF(AND($G$2=Choices!$B$2,O231&lt;$D$2),0,S231-R231))</f>
        <v>0</v>
      </c>
      <c r="U231" s="14">
        <f t="shared" ca="1" si="22"/>
        <v>0</v>
      </c>
      <c r="V231" s="14">
        <f t="shared" ca="1" si="23"/>
        <v>0</v>
      </c>
    </row>
    <row r="232" spans="1:22" x14ac:dyDescent="0.2">
      <c r="A232" s="5">
        <f t="shared" si="18"/>
        <v>225</v>
      </c>
      <c r="B232" s="23"/>
      <c r="C232" s="14">
        <v>0</v>
      </c>
      <c r="D232" s="14">
        <v>0</v>
      </c>
      <c r="E232" s="14">
        <v>0</v>
      </c>
      <c r="F232" s="14">
        <v>0</v>
      </c>
      <c r="G232" s="14">
        <v>0</v>
      </c>
      <c r="H232" s="23"/>
      <c r="I232" s="14">
        <v>0</v>
      </c>
      <c r="J232" s="14">
        <v>0</v>
      </c>
      <c r="K232" s="14">
        <v>0</v>
      </c>
      <c r="L232" s="14">
        <v>0</v>
      </c>
      <c r="M232" s="14">
        <v>0</v>
      </c>
      <c r="N232" s="23"/>
      <c r="O232" s="5">
        <f t="shared" si="19"/>
        <v>225</v>
      </c>
      <c r="P232" s="15">
        <f t="shared" ca="1" si="20"/>
        <v>0</v>
      </c>
      <c r="Q232" s="5">
        <f ca="1">IF(O232&gt;$D$2,0,IF($F$2=Choices!$A$2,IF(O232&gt;$E$2,OFFSET(LiborCurve!$A$1,O232,0)+$C$2,$B$2),$B$2))</f>
        <v>0</v>
      </c>
      <c r="R232" s="14">
        <f t="shared" ca="1" si="21"/>
        <v>0</v>
      </c>
      <c r="S232" s="14">
        <f>IF(O232&gt;$D$2,0,IF($G$2=Choices!$B$1,-PMT(Q232/12,$D$2-(O232-1),P232),0))</f>
        <v>0</v>
      </c>
      <c r="T232" s="14">
        <f ca="1">IF(AND($G$2=Choices!$B$2,O232=$D$2),P232,IF(AND($G$2=Choices!$B$2,O232&lt;$D$2),0,S232-R232))</f>
        <v>0</v>
      </c>
      <c r="U232" s="14">
        <f t="shared" ca="1" si="22"/>
        <v>0</v>
      </c>
      <c r="V232" s="14">
        <f t="shared" ca="1" si="23"/>
        <v>0</v>
      </c>
    </row>
    <row r="233" spans="1:22" x14ac:dyDescent="0.2">
      <c r="A233" s="5">
        <f t="shared" si="18"/>
        <v>226</v>
      </c>
      <c r="B233" s="23"/>
      <c r="C233" s="14">
        <v>0</v>
      </c>
      <c r="D233" s="14">
        <v>0</v>
      </c>
      <c r="E233" s="14">
        <v>0</v>
      </c>
      <c r="F233" s="14">
        <v>0</v>
      </c>
      <c r="G233" s="14">
        <v>0</v>
      </c>
      <c r="H233" s="23"/>
      <c r="I233" s="14">
        <v>0</v>
      </c>
      <c r="J233" s="14">
        <v>0</v>
      </c>
      <c r="K233" s="14">
        <v>0</v>
      </c>
      <c r="L233" s="14">
        <v>0</v>
      </c>
      <c r="M233" s="14">
        <v>0</v>
      </c>
      <c r="N233" s="23"/>
      <c r="O233" s="5">
        <f t="shared" si="19"/>
        <v>226</v>
      </c>
      <c r="P233" s="15">
        <f t="shared" ca="1" si="20"/>
        <v>0</v>
      </c>
      <c r="Q233" s="5">
        <f ca="1">IF(O233&gt;$D$2,0,IF($F$2=Choices!$A$2,IF(O233&gt;$E$2,OFFSET(LiborCurve!$A$1,O233,0)+$C$2,$B$2),$B$2))</f>
        <v>0</v>
      </c>
      <c r="R233" s="14">
        <f t="shared" ca="1" si="21"/>
        <v>0</v>
      </c>
      <c r="S233" s="14">
        <f>IF(O233&gt;$D$2,0,IF($G$2=Choices!$B$1,-PMT(Q233/12,$D$2-(O233-1),P233),0))</f>
        <v>0</v>
      </c>
      <c r="T233" s="14">
        <f ca="1">IF(AND($G$2=Choices!$B$2,O233=$D$2),P233,IF(AND($G$2=Choices!$B$2,O233&lt;$D$2),0,S233-R233))</f>
        <v>0</v>
      </c>
      <c r="U233" s="14">
        <f t="shared" ca="1" si="22"/>
        <v>0</v>
      </c>
      <c r="V233" s="14">
        <f t="shared" ca="1" si="23"/>
        <v>0</v>
      </c>
    </row>
    <row r="234" spans="1:22" x14ac:dyDescent="0.2">
      <c r="A234" s="5">
        <f t="shared" si="18"/>
        <v>227</v>
      </c>
      <c r="B234" s="23"/>
      <c r="C234" s="14">
        <v>0</v>
      </c>
      <c r="D234" s="14">
        <v>0</v>
      </c>
      <c r="E234" s="14">
        <v>0</v>
      </c>
      <c r="F234" s="14">
        <v>0</v>
      </c>
      <c r="G234" s="14">
        <v>0</v>
      </c>
      <c r="H234" s="23"/>
      <c r="I234" s="14">
        <v>0</v>
      </c>
      <c r="J234" s="14">
        <v>0</v>
      </c>
      <c r="K234" s="14">
        <v>0</v>
      </c>
      <c r="L234" s="14">
        <v>0</v>
      </c>
      <c r="M234" s="14">
        <v>0</v>
      </c>
      <c r="N234" s="23"/>
      <c r="O234" s="5">
        <f t="shared" si="19"/>
        <v>227</v>
      </c>
      <c r="P234" s="15">
        <f t="shared" ca="1" si="20"/>
        <v>0</v>
      </c>
      <c r="Q234" s="5">
        <f ca="1">IF(O234&gt;$D$2,0,IF($F$2=Choices!$A$2,IF(O234&gt;$E$2,OFFSET(LiborCurve!$A$1,O234,0)+$C$2,$B$2),$B$2))</f>
        <v>0</v>
      </c>
      <c r="R234" s="14">
        <f t="shared" ca="1" si="21"/>
        <v>0</v>
      </c>
      <c r="S234" s="14">
        <f>IF(O234&gt;$D$2,0,IF($G$2=Choices!$B$1,-PMT(Q234/12,$D$2-(O234-1),P234),0))</f>
        <v>0</v>
      </c>
      <c r="T234" s="14">
        <f ca="1">IF(AND($G$2=Choices!$B$2,O234=$D$2),P234,IF(AND($G$2=Choices!$B$2,O234&lt;$D$2),0,S234-R234))</f>
        <v>0</v>
      </c>
      <c r="U234" s="14">
        <f t="shared" ca="1" si="22"/>
        <v>0</v>
      </c>
      <c r="V234" s="14">
        <f t="shared" ca="1" si="23"/>
        <v>0</v>
      </c>
    </row>
    <row r="235" spans="1:22" x14ac:dyDescent="0.2">
      <c r="A235" s="5">
        <f t="shared" si="18"/>
        <v>228</v>
      </c>
      <c r="B235" s="23"/>
      <c r="C235" s="14">
        <v>0</v>
      </c>
      <c r="D235" s="14">
        <v>0</v>
      </c>
      <c r="E235" s="14">
        <v>0</v>
      </c>
      <c r="F235" s="14">
        <v>0</v>
      </c>
      <c r="G235" s="14">
        <v>0</v>
      </c>
      <c r="H235" s="23"/>
      <c r="I235" s="14">
        <v>0</v>
      </c>
      <c r="J235" s="14">
        <v>0</v>
      </c>
      <c r="K235" s="14">
        <v>0</v>
      </c>
      <c r="L235" s="14">
        <v>0</v>
      </c>
      <c r="M235" s="14">
        <v>0</v>
      </c>
      <c r="N235" s="23"/>
      <c r="O235" s="5">
        <f t="shared" si="19"/>
        <v>228</v>
      </c>
      <c r="P235" s="15">
        <f t="shared" ca="1" si="20"/>
        <v>0</v>
      </c>
      <c r="Q235" s="5">
        <f ca="1">IF(O235&gt;$D$2,0,IF($F$2=Choices!$A$2,IF(O235&gt;$E$2,OFFSET(LiborCurve!$A$1,O235,0)+$C$2,$B$2),$B$2))</f>
        <v>0</v>
      </c>
      <c r="R235" s="14">
        <f t="shared" ca="1" si="21"/>
        <v>0</v>
      </c>
      <c r="S235" s="14">
        <f>IF(O235&gt;$D$2,0,IF($G$2=Choices!$B$1,-PMT(Q235/12,$D$2-(O235-1),P235),0))</f>
        <v>0</v>
      </c>
      <c r="T235" s="14">
        <f ca="1">IF(AND($G$2=Choices!$B$2,O235=$D$2),P235,IF(AND($G$2=Choices!$B$2,O235&lt;$D$2),0,S235-R235))</f>
        <v>0</v>
      </c>
      <c r="U235" s="14">
        <f t="shared" ca="1" si="22"/>
        <v>0</v>
      </c>
      <c r="V235" s="14">
        <f t="shared" ca="1" si="23"/>
        <v>0</v>
      </c>
    </row>
    <row r="236" spans="1:22" x14ac:dyDescent="0.2">
      <c r="A236" s="5">
        <f t="shared" si="18"/>
        <v>229</v>
      </c>
      <c r="B236" s="23"/>
      <c r="C236" s="14">
        <v>0</v>
      </c>
      <c r="D236" s="14">
        <v>0</v>
      </c>
      <c r="E236" s="14">
        <v>0</v>
      </c>
      <c r="F236" s="14">
        <v>0</v>
      </c>
      <c r="G236" s="14">
        <v>0</v>
      </c>
      <c r="H236" s="23"/>
      <c r="I236" s="14">
        <v>0</v>
      </c>
      <c r="J236" s="14">
        <v>0</v>
      </c>
      <c r="K236" s="14">
        <v>0</v>
      </c>
      <c r="L236" s="14">
        <v>0</v>
      </c>
      <c r="M236" s="14">
        <v>0</v>
      </c>
      <c r="N236" s="23"/>
      <c r="O236" s="5">
        <f t="shared" si="19"/>
        <v>229</v>
      </c>
      <c r="P236" s="15">
        <f t="shared" ca="1" si="20"/>
        <v>0</v>
      </c>
      <c r="Q236" s="5">
        <f ca="1">IF(O236&gt;$D$2,0,IF($F$2=Choices!$A$2,IF(O236&gt;$E$2,OFFSET(LiborCurve!$A$1,O236,0)+$C$2,$B$2),$B$2))</f>
        <v>0</v>
      </c>
      <c r="R236" s="14">
        <f t="shared" ca="1" si="21"/>
        <v>0</v>
      </c>
      <c r="S236" s="14">
        <f>IF(O236&gt;$D$2,0,IF($G$2=Choices!$B$1,-PMT(Q236/12,$D$2-(O236-1),P236),0))</f>
        <v>0</v>
      </c>
      <c r="T236" s="14">
        <f ca="1">IF(AND($G$2=Choices!$B$2,O236=$D$2),P236,IF(AND($G$2=Choices!$B$2,O236&lt;$D$2),0,S236-R236))</f>
        <v>0</v>
      </c>
      <c r="U236" s="14">
        <f t="shared" ca="1" si="22"/>
        <v>0</v>
      </c>
      <c r="V236" s="14">
        <f t="shared" ca="1" si="23"/>
        <v>0</v>
      </c>
    </row>
    <row r="237" spans="1:22" x14ac:dyDescent="0.2">
      <c r="A237" s="5">
        <f t="shared" si="18"/>
        <v>230</v>
      </c>
      <c r="B237" s="23"/>
      <c r="C237" s="14">
        <v>0</v>
      </c>
      <c r="D237" s="14">
        <v>0</v>
      </c>
      <c r="E237" s="14">
        <v>0</v>
      </c>
      <c r="F237" s="14">
        <v>0</v>
      </c>
      <c r="G237" s="14">
        <v>0</v>
      </c>
      <c r="H237" s="23"/>
      <c r="I237" s="14">
        <v>0</v>
      </c>
      <c r="J237" s="14">
        <v>0</v>
      </c>
      <c r="K237" s="14">
        <v>0</v>
      </c>
      <c r="L237" s="14">
        <v>0</v>
      </c>
      <c r="M237" s="14">
        <v>0</v>
      </c>
      <c r="N237" s="23"/>
      <c r="O237" s="5">
        <f t="shared" si="19"/>
        <v>230</v>
      </c>
      <c r="P237" s="15">
        <f t="shared" ca="1" si="20"/>
        <v>0</v>
      </c>
      <c r="Q237" s="5">
        <f ca="1">IF(O237&gt;$D$2,0,IF($F$2=Choices!$A$2,IF(O237&gt;$E$2,OFFSET(LiborCurve!$A$1,O237,0)+$C$2,$B$2),$B$2))</f>
        <v>0</v>
      </c>
      <c r="R237" s="14">
        <f t="shared" ca="1" si="21"/>
        <v>0</v>
      </c>
      <c r="S237" s="14">
        <f>IF(O237&gt;$D$2,0,IF($G$2=Choices!$B$1,-PMT(Q237/12,$D$2-(O237-1),P237),0))</f>
        <v>0</v>
      </c>
      <c r="T237" s="14">
        <f ca="1">IF(AND($G$2=Choices!$B$2,O237=$D$2),P237,IF(AND($G$2=Choices!$B$2,O237&lt;$D$2),0,S237-R237))</f>
        <v>0</v>
      </c>
      <c r="U237" s="14">
        <f t="shared" ca="1" si="22"/>
        <v>0</v>
      </c>
      <c r="V237" s="14">
        <f t="shared" ca="1" si="23"/>
        <v>0</v>
      </c>
    </row>
    <row r="238" spans="1:22" x14ac:dyDescent="0.2">
      <c r="A238" s="5">
        <f t="shared" si="18"/>
        <v>231</v>
      </c>
      <c r="B238" s="23"/>
      <c r="C238" s="14">
        <v>0</v>
      </c>
      <c r="D238" s="14">
        <v>0</v>
      </c>
      <c r="E238" s="14">
        <v>0</v>
      </c>
      <c r="F238" s="14">
        <v>0</v>
      </c>
      <c r="G238" s="14">
        <v>0</v>
      </c>
      <c r="H238" s="23"/>
      <c r="I238" s="14">
        <v>0</v>
      </c>
      <c r="J238" s="14">
        <v>0</v>
      </c>
      <c r="K238" s="14">
        <v>0</v>
      </c>
      <c r="L238" s="14">
        <v>0</v>
      </c>
      <c r="M238" s="14">
        <v>0</v>
      </c>
      <c r="N238" s="23"/>
      <c r="O238" s="5">
        <f t="shared" si="19"/>
        <v>231</v>
      </c>
      <c r="P238" s="15">
        <f t="shared" ca="1" si="20"/>
        <v>0</v>
      </c>
      <c r="Q238" s="5">
        <f ca="1">IF(O238&gt;$D$2,0,IF($F$2=Choices!$A$2,IF(O238&gt;$E$2,OFFSET(LiborCurve!$A$1,O238,0)+$C$2,$B$2),$B$2))</f>
        <v>0</v>
      </c>
      <c r="R238" s="14">
        <f t="shared" ca="1" si="21"/>
        <v>0</v>
      </c>
      <c r="S238" s="14">
        <f>IF(O238&gt;$D$2,0,IF($G$2=Choices!$B$1,-PMT(Q238/12,$D$2-(O238-1),P238),0))</f>
        <v>0</v>
      </c>
      <c r="T238" s="14">
        <f ca="1">IF(AND($G$2=Choices!$B$2,O238=$D$2),P238,IF(AND($G$2=Choices!$B$2,O238&lt;$D$2),0,S238-R238))</f>
        <v>0</v>
      </c>
      <c r="U238" s="14">
        <f t="shared" ca="1" si="22"/>
        <v>0</v>
      </c>
      <c r="V238" s="14">
        <f t="shared" ca="1" si="23"/>
        <v>0</v>
      </c>
    </row>
    <row r="239" spans="1:22" x14ac:dyDescent="0.2">
      <c r="A239" s="5">
        <f t="shared" si="18"/>
        <v>232</v>
      </c>
      <c r="B239" s="23"/>
      <c r="C239" s="14">
        <v>0</v>
      </c>
      <c r="D239" s="14">
        <v>0</v>
      </c>
      <c r="E239" s="14">
        <v>0</v>
      </c>
      <c r="F239" s="14">
        <v>0</v>
      </c>
      <c r="G239" s="14">
        <v>0</v>
      </c>
      <c r="H239" s="23"/>
      <c r="I239" s="14">
        <v>0</v>
      </c>
      <c r="J239" s="14">
        <v>0</v>
      </c>
      <c r="K239" s="14">
        <v>0</v>
      </c>
      <c r="L239" s="14">
        <v>0</v>
      </c>
      <c r="M239" s="14">
        <v>0</v>
      </c>
      <c r="N239" s="23"/>
      <c r="O239" s="5">
        <f t="shared" si="19"/>
        <v>232</v>
      </c>
      <c r="P239" s="15">
        <f t="shared" ca="1" si="20"/>
        <v>0</v>
      </c>
      <c r="Q239" s="5">
        <f ca="1">IF(O239&gt;$D$2,0,IF($F$2=Choices!$A$2,IF(O239&gt;$E$2,OFFSET(LiborCurve!$A$1,O239,0)+$C$2,$B$2),$B$2))</f>
        <v>0</v>
      </c>
      <c r="R239" s="14">
        <f t="shared" ca="1" si="21"/>
        <v>0</v>
      </c>
      <c r="S239" s="14">
        <f>IF(O239&gt;$D$2,0,IF($G$2=Choices!$B$1,-PMT(Q239/12,$D$2-(O239-1),P239),0))</f>
        <v>0</v>
      </c>
      <c r="T239" s="14">
        <f ca="1">IF(AND($G$2=Choices!$B$2,O239=$D$2),P239,IF(AND($G$2=Choices!$B$2,O239&lt;$D$2),0,S239-R239))</f>
        <v>0</v>
      </c>
      <c r="U239" s="14">
        <f t="shared" ca="1" si="22"/>
        <v>0</v>
      </c>
      <c r="V239" s="14">
        <f t="shared" ca="1" si="23"/>
        <v>0</v>
      </c>
    </row>
    <row r="240" spans="1:22" x14ac:dyDescent="0.2">
      <c r="A240" s="5">
        <f t="shared" si="18"/>
        <v>233</v>
      </c>
      <c r="B240" s="23"/>
      <c r="C240" s="14">
        <v>0</v>
      </c>
      <c r="D240" s="14">
        <v>0</v>
      </c>
      <c r="E240" s="14">
        <v>0</v>
      </c>
      <c r="F240" s="14">
        <v>0</v>
      </c>
      <c r="G240" s="14">
        <v>0</v>
      </c>
      <c r="H240" s="23"/>
      <c r="I240" s="14">
        <v>0</v>
      </c>
      <c r="J240" s="14">
        <v>0</v>
      </c>
      <c r="K240" s="14">
        <v>0</v>
      </c>
      <c r="L240" s="14">
        <v>0</v>
      </c>
      <c r="M240" s="14">
        <v>0</v>
      </c>
      <c r="N240" s="23"/>
      <c r="O240" s="5">
        <f t="shared" si="19"/>
        <v>233</v>
      </c>
      <c r="P240" s="15">
        <f t="shared" ca="1" si="20"/>
        <v>0</v>
      </c>
      <c r="Q240" s="5">
        <f ca="1">IF(O240&gt;$D$2,0,IF($F$2=Choices!$A$2,IF(O240&gt;$E$2,OFFSET(LiborCurve!$A$1,O240,0)+$C$2,$B$2),$B$2))</f>
        <v>0</v>
      </c>
      <c r="R240" s="14">
        <f t="shared" ca="1" si="21"/>
        <v>0</v>
      </c>
      <c r="S240" s="14">
        <f>IF(O240&gt;$D$2,0,IF($G$2=Choices!$B$1,-PMT(Q240/12,$D$2-(O240-1),P240),0))</f>
        <v>0</v>
      </c>
      <c r="T240" s="14">
        <f ca="1">IF(AND($G$2=Choices!$B$2,O240=$D$2),P240,IF(AND($G$2=Choices!$B$2,O240&lt;$D$2),0,S240-R240))</f>
        <v>0</v>
      </c>
      <c r="U240" s="14">
        <f t="shared" ca="1" si="22"/>
        <v>0</v>
      </c>
      <c r="V240" s="14">
        <f t="shared" ca="1" si="23"/>
        <v>0</v>
      </c>
    </row>
    <row r="241" spans="1:22" x14ac:dyDescent="0.2">
      <c r="A241" s="5">
        <f t="shared" si="18"/>
        <v>234</v>
      </c>
      <c r="B241" s="23"/>
      <c r="C241" s="14">
        <v>0</v>
      </c>
      <c r="D241" s="14">
        <v>0</v>
      </c>
      <c r="E241" s="14">
        <v>0</v>
      </c>
      <c r="F241" s="14">
        <v>0</v>
      </c>
      <c r="G241" s="14">
        <v>0</v>
      </c>
      <c r="H241" s="23"/>
      <c r="I241" s="14">
        <v>0</v>
      </c>
      <c r="J241" s="14">
        <v>0</v>
      </c>
      <c r="K241" s="14">
        <v>0</v>
      </c>
      <c r="L241" s="14">
        <v>0</v>
      </c>
      <c r="M241" s="14">
        <v>0</v>
      </c>
      <c r="N241" s="23"/>
      <c r="O241" s="5">
        <f t="shared" si="19"/>
        <v>234</v>
      </c>
      <c r="P241" s="15">
        <f t="shared" ca="1" si="20"/>
        <v>0</v>
      </c>
      <c r="Q241" s="5">
        <f ca="1">IF(O241&gt;$D$2,0,IF($F$2=Choices!$A$2,IF(O241&gt;$E$2,OFFSET(LiborCurve!$A$1,O241,0)+$C$2,$B$2),$B$2))</f>
        <v>0</v>
      </c>
      <c r="R241" s="14">
        <f t="shared" ca="1" si="21"/>
        <v>0</v>
      </c>
      <c r="S241" s="14">
        <f>IF(O241&gt;$D$2,0,IF($G$2=Choices!$B$1,-PMT(Q241/12,$D$2-(O241-1),P241),0))</f>
        <v>0</v>
      </c>
      <c r="T241" s="14">
        <f ca="1">IF(AND($G$2=Choices!$B$2,O241=$D$2),P241,IF(AND($G$2=Choices!$B$2,O241&lt;$D$2),0,S241-R241))</f>
        <v>0</v>
      </c>
      <c r="U241" s="14">
        <f t="shared" ca="1" si="22"/>
        <v>0</v>
      </c>
      <c r="V241" s="14">
        <f t="shared" ca="1" si="23"/>
        <v>0</v>
      </c>
    </row>
    <row r="242" spans="1:22" x14ac:dyDescent="0.2">
      <c r="A242" s="5">
        <f t="shared" si="18"/>
        <v>235</v>
      </c>
      <c r="B242" s="23"/>
      <c r="C242" s="14">
        <v>0</v>
      </c>
      <c r="D242" s="14">
        <v>0</v>
      </c>
      <c r="E242" s="14">
        <v>0</v>
      </c>
      <c r="F242" s="14">
        <v>0</v>
      </c>
      <c r="G242" s="14">
        <v>0</v>
      </c>
      <c r="H242" s="23"/>
      <c r="I242" s="14">
        <v>0</v>
      </c>
      <c r="J242" s="14">
        <v>0</v>
      </c>
      <c r="K242" s="14">
        <v>0</v>
      </c>
      <c r="L242" s="14">
        <v>0</v>
      </c>
      <c r="M242" s="14">
        <v>0</v>
      </c>
      <c r="N242" s="23"/>
      <c r="O242" s="5">
        <f t="shared" si="19"/>
        <v>235</v>
      </c>
      <c r="P242" s="15">
        <f t="shared" ca="1" si="20"/>
        <v>0</v>
      </c>
      <c r="Q242" s="5">
        <f ca="1">IF(O242&gt;$D$2,0,IF($F$2=Choices!$A$2,IF(O242&gt;$E$2,OFFSET(LiborCurve!$A$1,O242,0)+$C$2,$B$2),$B$2))</f>
        <v>0</v>
      </c>
      <c r="R242" s="14">
        <f t="shared" ca="1" si="21"/>
        <v>0</v>
      </c>
      <c r="S242" s="14">
        <f>IF(O242&gt;$D$2,0,IF($G$2=Choices!$B$1,-PMT(Q242/12,$D$2-(O242-1),P242),0))</f>
        <v>0</v>
      </c>
      <c r="T242" s="14">
        <f ca="1">IF(AND($G$2=Choices!$B$2,O242=$D$2),P242,IF(AND($G$2=Choices!$B$2,O242&lt;$D$2),0,S242-R242))</f>
        <v>0</v>
      </c>
      <c r="U242" s="14">
        <f t="shared" ca="1" si="22"/>
        <v>0</v>
      </c>
      <c r="V242" s="14">
        <f t="shared" ca="1" si="23"/>
        <v>0</v>
      </c>
    </row>
    <row r="243" spans="1:22" x14ac:dyDescent="0.2">
      <c r="A243" s="5">
        <f t="shared" si="18"/>
        <v>236</v>
      </c>
      <c r="B243" s="23"/>
      <c r="C243" s="14">
        <v>0</v>
      </c>
      <c r="D243" s="14">
        <v>0</v>
      </c>
      <c r="E243" s="14">
        <v>0</v>
      </c>
      <c r="F243" s="14">
        <v>0</v>
      </c>
      <c r="G243" s="14">
        <v>0</v>
      </c>
      <c r="H243" s="23"/>
      <c r="I243" s="14">
        <v>0</v>
      </c>
      <c r="J243" s="14">
        <v>0</v>
      </c>
      <c r="K243" s="14">
        <v>0</v>
      </c>
      <c r="L243" s="14">
        <v>0</v>
      </c>
      <c r="M243" s="14">
        <v>0</v>
      </c>
      <c r="N243" s="23"/>
      <c r="O243" s="5">
        <f t="shared" si="19"/>
        <v>236</v>
      </c>
      <c r="P243" s="15">
        <f t="shared" ca="1" si="20"/>
        <v>0</v>
      </c>
      <c r="Q243" s="5">
        <f ca="1">IF(O243&gt;$D$2,0,IF($F$2=Choices!$A$2,IF(O243&gt;$E$2,OFFSET(LiborCurve!$A$1,O243,0)+$C$2,$B$2),$B$2))</f>
        <v>0</v>
      </c>
      <c r="R243" s="14">
        <f t="shared" ca="1" si="21"/>
        <v>0</v>
      </c>
      <c r="S243" s="14">
        <f>IF(O243&gt;$D$2,0,IF($G$2=Choices!$B$1,-PMT(Q243/12,$D$2-(O243-1),P243),0))</f>
        <v>0</v>
      </c>
      <c r="T243" s="14">
        <f ca="1">IF(AND($G$2=Choices!$B$2,O243=$D$2),P243,IF(AND($G$2=Choices!$B$2,O243&lt;$D$2),0,S243-R243))</f>
        <v>0</v>
      </c>
      <c r="U243" s="14">
        <f t="shared" ca="1" si="22"/>
        <v>0</v>
      </c>
      <c r="V243" s="14">
        <f t="shared" ca="1" si="23"/>
        <v>0</v>
      </c>
    </row>
    <row r="244" spans="1:22" x14ac:dyDescent="0.2">
      <c r="A244" s="5">
        <f t="shared" si="18"/>
        <v>237</v>
      </c>
      <c r="B244" s="23"/>
      <c r="C244" s="14">
        <v>0</v>
      </c>
      <c r="D244" s="14">
        <v>0</v>
      </c>
      <c r="E244" s="14">
        <v>0</v>
      </c>
      <c r="F244" s="14">
        <v>0</v>
      </c>
      <c r="G244" s="14">
        <v>0</v>
      </c>
      <c r="H244" s="23"/>
      <c r="I244" s="14">
        <v>0</v>
      </c>
      <c r="J244" s="14">
        <v>0</v>
      </c>
      <c r="K244" s="14">
        <v>0</v>
      </c>
      <c r="L244" s="14">
        <v>0</v>
      </c>
      <c r="M244" s="14">
        <v>0</v>
      </c>
      <c r="N244" s="23"/>
      <c r="O244" s="5">
        <f t="shared" si="19"/>
        <v>237</v>
      </c>
      <c r="P244" s="15">
        <f t="shared" ca="1" si="20"/>
        <v>0</v>
      </c>
      <c r="Q244" s="5">
        <f ca="1">IF(O244&gt;$D$2,0,IF($F$2=Choices!$A$2,IF(O244&gt;$E$2,OFFSET(LiborCurve!$A$1,O244,0)+$C$2,$B$2),$B$2))</f>
        <v>0</v>
      </c>
      <c r="R244" s="14">
        <f t="shared" ca="1" si="21"/>
        <v>0</v>
      </c>
      <c r="S244" s="14">
        <f>IF(O244&gt;$D$2,0,IF($G$2=Choices!$B$1,-PMT(Q244/12,$D$2-(O244-1),P244),0))</f>
        <v>0</v>
      </c>
      <c r="T244" s="14">
        <f ca="1">IF(AND($G$2=Choices!$B$2,O244=$D$2),P244,IF(AND($G$2=Choices!$B$2,O244&lt;$D$2),0,S244-R244))</f>
        <v>0</v>
      </c>
      <c r="U244" s="14">
        <f t="shared" ca="1" si="22"/>
        <v>0</v>
      </c>
      <c r="V244" s="14">
        <f t="shared" ca="1" si="23"/>
        <v>0</v>
      </c>
    </row>
    <row r="245" spans="1:22" x14ac:dyDescent="0.2">
      <c r="A245" s="5">
        <f t="shared" si="18"/>
        <v>238</v>
      </c>
      <c r="B245" s="23"/>
      <c r="C245" s="14">
        <v>0</v>
      </c>
      <c r="D245" s="14">
        <v>0</v>
      </c>
      <c r="E245" s="14">
        <v>0</v>
      </c>
      <c r="F245" s="14">
        <v>0</v>
      </c>
      <c r="G245" s="14">
        <v>0</v>
      </c>
      <c r="H245" s="23"/>
      <c r="I245" s="14">
        <v>0</v>
      </c>
      <c r="J245" s="14">
        <v>0</v>
      </c>
      <c r="K245" s="14">
        <v>0</v>
      </c>
      <c r="L245" s="14">
        <v>0</v>
      </c>
      <c r="M245" s="14">
        <v>0</v>
      </c>
      <c r="N245" s="23"/>
      <c r="O245" s="5">
        <f t="shared" si="19"/>
        <v>238</v>
      </c>
      <c r="P245" s="15">
        <f t="shared" ca="1" si="20"/>
        <v>0</v>
      </c>
      <c r="Q245" s="5">
        <f ca="1">IF(O245&gt;$D$2,0,IF($F$2=Choices!$A$2,IF(O245&gt;$E$2,OFFSET(LiborCurve!$A$1,O245,0)+$C$2,$B$2),$B$2))</f>
        <v>0</v>
      </c>
      <c r="R245" s="14">
        <f t="shared" ca="1" si="21"/>
        <v>0</v>
      </c>
      <c r="S245" s="14">
        <f>IF(O245&gt;$D$2,0,IF($G$2=Choices!$B$1,-PMT(Q245/12,$D$2-(O245-1),P245),0))</f>
        <v>0</v>
      </c>
      <c r="T245" s="14">
        <f ca="1">IF(AND($G$2=Choices!$B$2,O245=$D$2),P245,IF(AND($G$2=Choices!$B$2,O245&lt;$D$2),0,S245-R245))</f>
        <v>0</v>
      </c>
      <c r="U245" s="14">
        <f t="shared" ca="1" si="22"/>
        <v>0</v>
      </c>
      <c r="V245" s="14">
        <f t="shared" ca="1" si="23"/>
        <v>0</v>
      </c>
    </row>
    <row r="246" spans="1:22" x14ac:dyDescent="0.2">
      <c r="A246" s="5">
        <f t="shared" si="18"/>
        <v>239</v>
      </c>
      <c r="B246" s="23"/>
      <c r="C246" s="14">
        <v>0</v>
      </c>
      <c r="D246" s="14">
        <v>0</v>
      </c>
      <c r="E246" s="14">
        <v>0</v>
      </c>
      <c r="F246" s="14">
        <v>0</v>
      </c>
      <c r="G246" s="14">
        <v>0</v>
      </c>
      <c r="H246" s="23"/>
      <c r="I246" s="14">
        <v>0</v>
      </c>
      <c r="J246" s="14">
        <v>0</v>
      </c>
      <c r="K246" s="14">
        <v>0</v>
      </c>
      <c r="L246" s="14">
        <v>0</v>
      </c>
      <c r="M246" s="14">
        <v>0</v>
      </c>
      <c r="N246" s="23"/>
      <c r="O246" s="5">
        <f t="shared" si="19"/>
        <v>239</v>
      </c>
      <c r="P246" s="15">
        <f t="shared" ca="1" si="20"/>
        <v>0</v>
      </c>
      <c r="Q246" s="5">
        <f ca="1">IF(O246&gt;$D$2,0,IF($F$2=Choices!$A$2,IF(O246&gt;$E$2,OFFSET(LiborCurve!$A$1,O246,0)+$C$2,$B$2),$B$2))</f>
        <v>0</v>
      </c>
      <c r="R246" s="14">
        <f t="shared" ca="1" si="21"/>
        <v>0</v>
      </c>
      <c r="S246" s="14">
        <f>IF(O246&gt;$D$2,0,IF($G$2=Choices!$B$1,-PMT(Q246/12,$D$2-(O246-1),P246),0))</f>
        <v>0</v>
      </c>
      <c r="T246" s="14">
        <f ca="1">IF(AND($G$2=Choices!$B$2,O246=$D$2),P246,IF(AND($G$2=Choices!$B$2,O246&lt;$D$2),0,S246-R246))</f>
        <v>0</v>
      </c>
      <c r="U246" s="14">
        <f t="shared" ca="1" si="22"/>
        <v>0</v>
      </c>
      <c r="V246" s="14">
        <f t="shared" ca="1" si="23"/>
        <v>0</v>
      </c>
    </row>
    <row r="247" spans="1:22" x14ac:dyDescent="0.2">
      <c r="A247" s="5">
        <f t="shared" si="18"/>
        <v>240</v>
      </c>
      <c r="B247" s="23"/>
      <c r="C247" s="14">
        <v>0</v>
      </c>
      <c r="D247" s="14">
        <v>0</v>
      </c>
      <c r="E247" s="14">
        <v>0</v>
      </c>
      <c r="F247" s="14">
        <v>0</v>
      </c>
      <c r="G247" s="14">
        <v>0</v>
      </c>
      <c r="H247" s="23"/>
      <c r="I247" s="14">
        <v>0</v>
      </c>
      <c r="J247" s="14">
        <v>0</v>
      </c>
      <c r="K247" s="14">
        <v>0</v>
      </c>
      <c r="L247" s="14">
        <v>0</v>
      </c>
      <c r="M247" s="14">
        <v>0</v>
      </c>
      <c r="N247" s="23"/>
      <c r="O247" s="5">
        <f t="shared" si="19"/>
        <v>240</v>
      </c>
      <c r="P247" s="15">
        <f t="shared" ca="1" si="20"/>
        <v>0</v>
      </c>
      <c r="Q247" s="5">
        <f ca="1">IF(O247&gt;$D$2,0,IF($F$2=Choices!$A$2,IF(O247&gt;$E$2,OFFSET(LiborCurve!$A$1,O247,0)+$C$2,$B$2),$B$2))</f>
        <v>0</v>
      </c>
      <c r="R247" s="14">
        <f t="shared" ca="1" si="21"/>
        <v>0</v>
      </c>
      <c r="S247" s="14">
        <f>IF(O247&gt;$D$2,0,IF($G$2=Choices!$B$1,-PMT(Q247/12,$D$2-(O247-1),P247),0))</f>
        <v>0</v>
      </c>
      <c r="T247" s="14">
        <f ca="1">IF(AND($G$2=Choices!$B$2,O247=$D$2),P247,IF(AND($G$2=Choices!$B$2,O247&lt;$D$2),0,S247-R247))</f>
        <v>0</v>
      </c>
      <c r="U247" s="14">
        <f t="shared" ca="1" si="22"/>
        <v>0</v>
      </c>
      <c r="V247" s="14">
        <f t="shared" ca="1" si="23"/>
        <v>0</v>
      </c>
    </row>
    <row r="248" spans="1:22" x14ac:dyDescent="0.2">
      <c r="A248" s="5">
        <f t="shared" si="18"/>
        <v>241</v>
      </c>
      <c r="B248" s="23"/>
      <c r="C248" s="14">
        <v>0</v>
      </c>
      <c r="D248" s="14">
        <v>0</v>
      </c>
      <c r="E248" s="14">
        <v>0</v>
      </c>
      <c r="F248" s="14">
        <v>0</v>
      </c>
      <c r="G248" s="14">
        <v>0</v>
      </c>
      <c r="H248" s="23"/>
      <c r="I248" s="14">
        <v>0</v>
      </c>
      <c r="J248" s="14">
        <v>0</v>
      </c>
      <c r="K248" s="14">
        <v>0</v>
      </c>
      <c r="L248" s="14">
        <v>0</v>
      </c>
      <c r="M248" s="14">
        <v>0</v>
      </c>
      <c r="N248" s="23"/>
      <c r="O248" s="5">
        <f t="shared" si="19"/>
        <v>241</v>
      </c>
      <c r="P248" s="15">
        <f t="shared" ca="1" si="20"/>
        <v>0</v>
      </c>
      <c r="Q248" s="5">
        <f ca="1">IF(O248&gt;$D$2,0,IF($F$2=Choices!$A$2,IF(O248&gt;$E$2,OFFSET(LiborCurve!$A$1,O248,0)+$C$2,$B$2),$B$2))</f>
        <v>0</v>
      </c>
      <c r="R248" s="14">
        <f t="shared" ca="1" si="21"/>
        <v>0</v>
      </c>
      <c r="S248" s="14">
        <f>IF(O248&gt;$D$2,0,IF($G$2=Choices!$B$1,-PMT(Q248/12,$D$2-(O248-1),P248),0))</f>
        <v>0</v>
      </c>
      <c r="T248" s="14">
        <f ca="1">IF(AND($G$2=Choices!$B$2,O248=$D$2),P248,IF(AND($G$2=Choices!$B$2,O248&lt;$D$2),0,S248-R248))</f>
        <v>0</v>
      </c>
      <c r="U248" s="14">
        <f t="shared" ca="1" si="22"/>
        <v>0</v>
      </c>
      <c r="V248" s="14">
        <f t="shared" ca="1" si="23"/>
        <v>0</v>
      </c>
    </row>
    <row r="249" spans="1:22" x14ac:dyDescent="0.2">
      <c r="A249" s="5">
        <f t="shared" si="18"/>
        <v>242</v>
      </c>
      <c r="B249" s="23"/>
      <c r="C249" s="14">
        <v>0</v>
      </c>
      <c r="D249" s="14">
        <v>0</v>
      </c>
      <c r="E249" s="14">
        <v>0</v>
      </c>
      <c r="F249" s="14">
        <v>0</v>
      </c>
      <c r="G249" s="14">
        <v>0</v>
      </c>
      <c r="H249" s="23"/>
      <c r="I249" s="14">
        <v>0</v>
      </c>
      <c r="J249" s="14">
        <v>0</v>
      </c>
      <c r="K249" s="14">
        <v>0</v>
      </c>
      <c r="L249" s="14">
        <v>0</v>
      </c>
      <c r="M249" s="14">
        <v>0</v>
      </c>
      <c r="N249" s="23"/>
      <c r="O249" s="5">
        <f t="shared" si="19"/>
        <v>242</v>
      </c>
      <c r="P249" s="15">
        <f t="shared" ca="1" si="20"/>
        <v>0</v>
      </c>
      <c r="Q249" s="5">
        <f ca="1">IF(O249&gt;$D$2,0,IF($F$2=Choices!$A$2,IF(O249&gt;$E$2,OFFSET(LiborCurve!$A$1,O249,0)+$C$2,$B$2),$B$2))</f>
        <v>0</v>
      </c>
      <c r="R249" s="14">
        <f t="shared" ca="1" si="21"/>
        <v>0</v>
      </c>
      <c r="S249" s="14">
        <f>IF(O249&gt;$D$2,0,IF($G$2=Choices!$B$1,-PMT(Q249/12,$D$2-(O249-1),P249),0))</f>
        <v>0</v>
      </c>
      <c r="T249" s="14">
        <f ca="1">IF(AND($G$2=Choices!$B$2,O249=$D$2),P249,IF(AND($G$2=Choices!$B$2,O249&lt;$D$2),0,S249-R249))</f>
        <v>0</v>
      </c>
      <c r="U249" s="14">
        <f t="shared" ca="1" si="22"/>
        <v>0</v>
      </c>
      <c r="V249" s="14">
        <f t="shared" ca="1" si="23"/>
        <v>0</v>
      </c>
    </row>
    <row r="250" spans="1:22" x14ac:dyDescent="0.2">
      <c r="A250" s="5">
        <f t="shared" si="18"/>
        <v>243</v>
      </c>
      <c r="B250" s="23"/>
      <c r="C250" s="14">
        <v>0</v>
      </c>
      <c r="D250" s="14">
        <v>0</v>
      </c>
      <c r="E250" s="14">
        <v>0</v>
      </c>
      <c r="F250" s="14">
        <v>0</v>
      </c>
      <c r="G250" s="14">
        <v>0</v>
      </c>
      <c r="H250" s="23"/>
      <c r="I250" s="14">
        <v>0</v>
      </c>
      <c r="J250" s="14">
        <v>0</v>
      </c>
      <c r="K250" s="14">
        <v>0</v>
      </c>
      <c r="L250" s="14">
        <v>0</v>
      </c>
      <c r="M250" s="14">
        <v>0</v>
      </c>
      <c r="N250" s="23"/>
      <c r="O250" s="5">
        <f t="shared" si="19"/>
        <v>243</v>
      </c>
      <c r="P250" s="15">
        <f t="shared" ca="1" si="20"/>
        <v>0</v>
      </c>
      <c r="Q250" s="5">
        <f ca="1">IF(O250&gt;$D$2,0,IF($F$2=Choices!$A$2,IF(O250&gt;$E$2,OFFSET(LiborCurve!$A$1,O250,0)+$C$2,$B$2),$B$2))</f>
        <v>0</v>
      </c>
      <c r="R250" s="14">
        <f t="shared" ca="1" si="21"/>
        <v>0</v>
      </c>
      <c r="S250" s="14">
        <f>IF(O250&gt;$D$2,0,IF($G$2=Choices!$B$1,-PMT(Q250/12,$D$2-(O250-1),P250),0))</f>
        <v>0</v>
      </c>
      <c r="T250" s="14">
        <f ca="1">IF(AND($G$2=Choices!$B$2,O250=$D$2),P250,IF(AND($G$2=Choices!$B$2,O250&lt;$D$2),0,S250-R250))</f>
        <v>0</v>
      </c>
      <c r="U250" s="14">
        <f t="shared" ca="1" si="22"/>
        <v>0</v>
      </c>
      <c r="V250" s="14">
        <f t="shared" ca="1" si="23"/>
        <v>0</v>
      </c>
    </row>
    <row r="251" spans="1:22" x14ac:dyDescent="0.2">
      <c r="A251" s="5">
        <f t="shared" si="18"/>
        <v>244</v>
      </c>
      <c r="B251" s="23"/>
      <c r="C251" s="14">
        <v>0</v>
      </c>
      <c r="D251" s="14">
        <v>0</v>
      </c>
      <c r="E251" s="14">
        <v>0</v>
      </c>
      <c r="F251" s="14">
        <v>0</v>
      </c>
      <c r="G251" s="14">
        <v>0</v>
      </c>
      <c r="H251" s="23"/>
      <c r="I251" s="14">
        <v>0</v>
      </c>
      <c r="J251" s="14">
        <v>0</v>
      </c>
      <c r="K251" s="14">
        <v>0</v>
      </c>
      <c r="L251" s="14">
        <v>0</v>
      </c>
      <c r="M251" s="14">
        <v>0</v>
      </c>
      <c r="N251" s="23"/>
      <c r="O251" s="5">
        <f t="shared" si="19"/>
        <v>244</v>
      </c>
      <c r="P251" s="15">
        <f t="shared" ca="1" si="20"/>
        <v>0</v>
      </c>
      <c r="Q251" s="5">
        <f ca="1">IF(O251&gt;$D$2,0,IF($F$2=Choices!$A$2,IF(O251&gt;$E$2,OFFSET(LiborCurve!$A$1,O251,0)+$C$2,$B$2),$B$2))</f>
        <v>0</v>
      </c>
      <c r="R251" s="14">
        <f t="shared" ca="1" si="21"/>
        <v>0</v>
      </c>
      <c r="S251" s="14">
        <f>IF(O251&gt;$D$2,0,IF($G$2=Choices!$B$1,-PMT(Q251/12,$D$2-(O251-1),P251),0))</f>
        <v>0</v>
      </c>
      <c r="T251" s="14">
        <f ca="1">IF(AND($G$2=Choices!$B$2,O251=$D$2),P251,IF(AND($G$2=Choices!$B$2,O251&lt;$D$2),0,S251-R251))</f>
        <v>0</v>
      </c>
      <c r="U251" s="14">
        <f t="shared" ca="1" si="22"/>
        <v>0</v>
      </c>
      <c r="V251" s="14">
        <f t="shared" ca="1" si="23"/>
        <v>0</v>
      </c>
    </row>
    <row r="252" spans="1:22" x14ac:dyDescent="0.2">
      <c r="A252" s="5">
        <f t="shared" si="18"/>
        <v>245</v>
      </c>
      <c r="B252" s="23"/>
      <c r="C252" s="14">
        <v>0</v>
      </c>
      <c r="D252" s="14">
        <v>0</v>
      </c>
      <c r="E252" s="14">
        <v>0</v>
      </c>
      <c r="F252" s="14">
        <v>0</v>
      </c>
      <c r="G252" s="14">
        <v>0</v>
      </c>
      <c r="H252" s="23"/>
      <c r="I252" s="14">
        <v>0</v>
      </c>
      <c r="J252" s="14">
        <v>0</v>
      </c>
      <c r="K252" s="14">
        <v>0</v>
      </c>
      <c r="L252" s="14">
        <v>0</v>
      </c>
      <c r="M252" s="14">
        <v>0</v>
      </c>
      <c r="N252" s="23"/>
      <c r="O252" s="5">
        <f t="shared" si="19"/>
        <v>245</v>
      </c>
      <c r="P252" s="15">
        <f t="shared" ca="1" si="20"/>
        <v>0</v>
      </c>
      <c r="Q252" s="5">
        <f ca="1">IF(O252&gt;$D$2,0,IF($F$2=Choices!$A$2,IF(O252&gt;$E$2,OFFSET(LiborCurve!$A$1,O252,0)+$C$2,$B$2),$B$2))</f>
        <v>0</v>
      </c>
      <c r="R252" s="14">
        <f t="shared" ca="1" si="21"/>
        <v>0</v>
      </c>
      <c r="S252" s="14">
        <f>IF(O252&gt;$D$2,0,IF($G$2=Choices!$B$1,-PMT(Q252/12,$D$2-(O252-1),P252),0))</f>
        <v>0</v>
      </c>
      <c r="T252" s="14">
        <f ca="1">IF(AND($G$2=Choices!$B$2,O252=$D$2),P252,IF(AND($G$2=Choices!$B$2,O252&lt;$D$2),0,S252-R252))</f>
        <v>0</v>
      </c>
      <c r="U252" s="14">
        <f t="shared" ca="1" si="22"/>
        <v>0</v>
      </c>
      <c r="V252" s="14">
        <f t="shared" ca="1" si="23"/>
        <v>0</v>
      </c>
    </row>
    <row r="253" spans="1:22" x14ac:dyDescent="0.2">
      <c r="A253" s="5">
        <f t="shared" si="18"/>
        <v>246</v>
      </c>
      <c r="B253" s="23"/>
      <c r="C253" s="14">
        <v>0</v>
      </c>
      <c r="D253" s="14">
        <v>0</v>
      </c>
      <c r="E253" s="14">
        <v>0</v>
      </c>
      <c r="F253" s="14">
        <v>0</v>
      </c>
      <c r="G253" s="14">
        <v>0</v>
      </c>
      <c r="H253" s="23"/>
      <c r="I253" s="14">
        <v>0</v>
      </c>
      <c r="J253" s="14">
        <v>0</v>
      </c>
      <c r="K253" s="14">
        <v>0</v>
      </c>
      <c r="L253" s="14">
        <v>0</v>
      </c>
      <c r="M253" s="14">
        <v>0</v>
      </c>
      <c r="N253" s="23"/>
      <c r="O253" s="5">
        <f t="shared" si="19"/>
        <v>246</v>
      </c>
      <c r="P253" s="15">
        <f t="shared" ca="1" si="20"/>
        <v>0</v>
      </c>
      <c r="Q253" s="5">
        <f ca="1">IF(O253&gt;$D$2,0,IF($F$2=Choices!$A$2,IF(O253&gt;$E$2,OFFSET(LiborCurve!$A$1,O253,0)+$C$2,$B$2),$B$2))</f>
        <v>0</v>
      </c>
      <c r="R253" s="14">
        <f t="shared" ca="1" si="21"/>
        <v>0</v>
      </c>
      <c r="S253" s="14">
        <f>IF(O253&gt;$D$2,0,IF($G$2=Choices!$B$1,-PMT(Q253/12,$D$2-(O253-1),P253),0))</f>
        <v>0</v>
      </c>
      <c r="T253" s="14">
        <f ca="1">IF(AND($G$2=Choices!$B$2,O253=$D$2),P253,IF(AND($G$2=Choices!$B$2,O253&lt;$D$2),0,S253-R253))</f>
        <v>0</v>
      </c>
      <c r="U253" s="14">
        <f t="shared" ca="1" si="22"/>
        <v>0</v>
      </c>
      <c r="V253" s="14">
        <f t="shared" ca="1" si="23"/>
        <v>0</v>
      </c>
    </row>
    <row r="254" spans="1:22" x14ac:dyDescent="0.2">
      <c r="A254" s="5">
        <f t="shared" si="18"/>
        <v>247</v>
      </c>
      <c r="B254" s="23"/>
      <c r="C254" s="14">
        <v>0</v>
      </c>
      <c r="D254" s="14">
        <v>0</v>
      </c>
      <c r="E254" s="14">
        <v>0</v>
      </c>
      <c r="F254" s="14">
        <v>0</v>
      </c>
      <c r="G254" s="14">
        <v>0</v>
      </c>
      <c r="H254" s="23"/>
      <c r="I254" s="14">
        <v>0</v>
      </c>
      <c r="J254" s="14">
        <v>0</v>
      </c>
      <c r="K254" s="14">
        <v>0</v>
      </c>
      <c r="L254" s="14">
        <v>0</v>
      </c>
      <c r="M254" s="14">
        <v>0</v>
      </c>
      <c r="N254" s="23"/>
      <c r="O254" s="5">
        <f t="shared" si="19"/>
        <v>247</v>
      </c>
      <c r="P254" s="15">
        <f t="shared" ca="1" si="20"/>
        <v>0</v>
      </c>
      <c r="Q254" s="5">
        <f ca="1">IF(O254&gt;$D$2,0,IF($F$2=Choices!$A$2,IF(O254&gt;$E$2,OFFSET(LiborCurve!$A$1,O254,0)+$C$2,$B$2),$B$2))</f>
        <v>0</v>
      </c>
      <c r="R254" s="14">
        <f t="shared" ca="1" si="21"/>
        <v>0</v>
      </c>
      <c r="S254" s="14">
        <f>IF(O254&gt;$D$2,0,IF($G$2=Choices!$B$1,-PMT(Q254/12,$D$2-(O254-1),P254),0))</f>
        <v>0</v>
      </c>
      <c r="T254" s="14">
        <f ca="1">IF(AND($G$2=Choices!$B$2,O254=$D$2),P254,IF(AND($G$2=Choices!$B$2,O254&lt;$D$2),0,S254-R254))</f>
        <v>0</v>
      </c>
      <c r="U254" s="14">
        <f t="shared" ca="1" si="22"/>
        <v>0</v>
      </c>
      <c r="V254" s="14">
        <f t="shared" ca="1" si="23"/>
        <v>0</v>
      </c>
    </row>
    <row r="255" spans="1:22" x14ac:dyDescent="0.2">
      <c r="A255" s="5">
        <f t="shared" si="18"/>
        <v>248</v>
      </c>
      <c r="B255" s="23"/>
      <c r="C255" s="14">
        <v>0</v>
      </c>
      <c r="D255" s="14">
        <v>0</v>
      </c>
      <c r="E255" s="14">
        <v>0</v>
      </c>
      <c r="F255" s="14">
        <v>0</v>
      </c>
      <c r="G255" s="14">
        <v>0</v>
      </c>
      <c r="H255" s="23"/>
      <c r="I255" s="14">
        <v>0</v>
      </c>
      <c r="J255" s="14">
        <v>0</v>
      </c>
      <c r="K255" s="14">
        <v>0</v>
      </c>
      <c r="L255" s="14">
        <v>0</v>
      </c>
      <c r="M255" s="14">
        <v>0</v>
      </c>
      <c r="N255" s="23"/>
      <c r="O255" s="5">
        <f t="shared" si="19"/>
        <v>248</v>
      </c>
      <c r="P255" s="15">
        <f t="shared" ca="1" si="20"/>
        <v>0</v>
      </c>
      <c r="Q255" s="5">
        <f ca="1">IF(O255&gt;$D$2,0,IF($F$2=Choices!$A$2,IF(O255&gt;$E$2,OFFSET(LiborCurve!$A$1,O255,0)+$C$2,$B$2),$B$2))</f>
        <v>0</v>
      </c>
      <c r="R255" s="14">
        <f t="shared" ca="1" si="21"/>
        <v>0</v>
      </c>
      <c r="S255" s="14">
        <f>IF(O255&gt;$D$2,0,IF($G$2=Choices!$B$1,-PMT(Q255/12,$D$2-(O255-1),P255),0))</f>
        <v>0</v>
      </c>
      <c r="T255" s="14">
        <f ca="1">IF(AND($G$2=Choices!$B$2,O255=$D$2),P255,IF(AND($G$2=Choices!$B$2,O255&lt;$D$2),0,S255-R255))</f>
        <v>0</v>
      </c>
      <c r="U255" s="14">
        <f t="shared" ca="1" si="22"/>
        <v>0</v>
      </c>
      <c r="V255" s="14">
        <f t="shared" ca="1" si="23"/>
        <v>0</v>
      </c>
    </row>
    <row r="256" spans="1:22" x14ac:dyDescent="0.2">
      <c r="A256" s="5">
        <f t="shared" si="18"/>
        <v>249</v>
      </c>
      <c r="B256" s="23"/>
      <c r="C256" s="14">
        <v>0</v>
      </c>
      <c r="D256" s="14">
        <v>0</v>
      </c>
      <c r="E256" s="14">
        <v>0</v>
      </c>
      <c r="F256" s="14">
        <v>0</v>
      </c>
      <c r="G256" s="14">
        <v>0</v>
      </c>
      <c r="H256" s="23"/>
      <c r="I256" s="14">
        <v>0</v>
      </c>
      <c r="J256" s="14">
        <v>0</v>
      </c>
      <c r="K256" s="14">
        <v>0</v>
      </c>
      <c r="L256" s="14">
        <v>0</v>
      </c>
      <c r="M256" s="14">
        <v>0</v>
      </c>
      <c r="N256" s="23"/>
      <c r="O256" s="5">
        <f t="shared" si="19"/>
        <v>249</v>
      </c>
      <c r="P256" s="15">
        <f t="shared" ca="1" si="20"/>
        <v>0</v>
      </c>
      <c r="Q256" s="5">
        <f ca="1">IF(O256&gt;$D$2,0,IF($F$2=Choices!$A$2,IF(O256&gt;$E$2,OFFSET(LiborCurve!$A$1,O256,0)+$C$2,$B$2),$B$2))</f>
        <v>0</v>
      </c>
      <c r="R256" s="14">
        <f t="shared" ca="1" si="21"/>
        <v>0</v>
      </c>
      <c r="S256" s="14">
        <f>IF(O256&gt;$D$2,0,IF($G$2=Choices!$B$1,-PMT(Q256/12,$D$2-(O256-1),P256),0))</f>
        <v>0</v>
      </c>
      <c r="T256" s="14">
        <f ca="1">IF(AND($G$2=Choices!$B$2,O256=$D$2),P256,IF(AND($G$2=Choices!$B$2,O256&lt;$D$2),0,S256-R256))</f>
        <v>0</v>
      </c>
      <c r="U256" s="14">
        <f t="shared" ca="1" si="22"/>
        <v>0</v>
      </c>
      <c r="V256" s="14">
        <f t="shared" ca="1" si="23"/>
        <v>0</v>
      </c>
    </row>
    <row r="257" spans="1:22" x14ac:dyDescent="0.2">
      <c r="A257" s="5">
        <f t="shared" si="18"/>
        <v>250</v>
      </c>
      <c r="B257" s="23"/>
      <c r="C257" s="14">
        <v>0</v>
      </c>
      <c r="D257" s="14">
        <v>0</v>
      </c>
      <c r="E257" s="14">
        <v>0</v>
      </c>
      <c r="F257" s="14">
        <v>0</v>
      </c>
      <c r="G257" s="14">
        <v>0</v>
      </c>
      <c r="H257" s="23"/>
      <c r="I257" s="14">
        <v>0</v>
      </c>
      <c r="J257" s="14">
        <v>0</v>
      </c>
      <c r="K257" s="14">
        <v>0</v>
      </c>
      <c r="L257" s="14">
        <v>0</v>
      </c>
      <c r="M257" s="14">
        <v>0</v>
      </c>
      <c r="N257" s="23"/>
      <c r="O257" s="5">
        <f t="shared" si="19"/>
        <v>250</v>
      </c>
      <c r="P257" s="15">
        <f t="shared" ca="1" si="20"/>
        <v>0</v>
      </c>
      <c r="Q257" s="5">
        <f ca="1">IF(O257&gt;$D$2,0,IF($F$2=Choices!$A$2,IF(O257&gt;$E$2,OFFSET(LiborCurve!$A$1,O257,0)+$C$2,$B$2),$B$2))</f>
        <v>0</v>
      </c>
      <c r="R257" s="14">
        <f t="shared" ca="1" si="21"/>
        <v>0</v>
      </c>
      <c r="S257" s="14">
        <f>IF(O257&gt;$D$2,0,IF($G$2=Choices!$B$1,-PMT(Q257/12,$D$2-(O257-1),P257),0))</f>
        <v>0</v>
      </c>
      <c r="T257" s="14">
        <f ca="1">IF(AND($G$2=Choices!$B$2,O257=$D$2),P257,IF(AND($G$2=Choices!$B$2,O257&lt;$D$2),0,S257-R257))</f>
        <v>0</v>
      </c>
      <c r="U257" s="14">
        <f t="shared" ca="1" si="22"/>
        <v>0</v>
      </c>
      <c r="V257" s="14">
        <f t="shared" ca="1" si="23"/>
        <v>0</v>
      </c>
    </row>
    <row r="258" spans="1:22" x14ac:dyDescent="0.2">
      <c r="A258" s="5">
        <f t="shared" si="18"/>
        <v>251</v>
      </c>
      <c r="B258" s="23"/>
      <c r="C258" s="14">
        <v>0</v>
      </c>
      <c r="D258" s="14">
        <v>0</v>
      </c>
      <c r="E258" s="14">
        <v>0</v>
      </c>
      <c r="F258" s="14">
        <v>0</v>
      </c>
      <c r="G258" s="14">
        <v>0</v>
      </c>
      <c r="H258" s="23"/>
      <c r="I258" s="14">
        <v>0</v>
      </c>
      <c r="J258" s="14">
        <v>0</v>
      </c>
      <c r="K258" s="14">
        <v>0</v>
      </c>
      <c r="L258" s="14">
        <v>0</v>
      </c>
      <c r="M258" s="14">
        <v>0</v>
      </c>
      <c r="N258" s="23"/>
      <c r="O258" s="5">
        <f t="shared" si="19"/>
        <v>251</v>
      </c>
      <c r="P258" s="15">
        <f t="shared" ca="1" si="20"/>
        <v>0</v>
      </c>
      <c r="Q258" s="5">
        <f ca="1">IF(O258&gt;$D$2,0,IF($F$2=Choices!$A$2,IF(O258&gt;$E$2,OFFSET(LiborCurve!$A$1,O258,0)+$C$2,$B$2),$B$2))</f>
        <v>0</v>
      </c>
      <c r="R258" s="14">
        <f t="shared" ca="1" si="21"/>
        <v>0</v>
      </c>
      <c r="S258" s="14">
        <f>IF(O258&gt;$D$2,0,IF($G$2=Choices!$B$1,-PMT(Q258/12,$D$2-(O258-1),P258),0))</f>
        <v>0</v>
      </c>
      <c r="T258" s="14">
        <f ca="1">IF(AND($G$2=Choices!$B$2,O258=$D$2),P258,IF(AND($G$2=Choices!$B$2,O258&lt;$D$2),0,S258-R258))</f>
        <v>0</v>
      </c>
      <c r="U258" s="14">
        <f t="shared" ca="1" si="22"/>
        <v>0</v>
      </c>
      <c r="V258" s="14">
        <f t="shared" ca="1" si="23"/>
        <v>0</v>
      </c>
    </row>
    <row r="259" spans="1:22" x14ac:dyDescent="0.2">
      <c r="A259" s="5">
        <f t="shared" si="18"/>
        <v>252</v>
      </c>
      <c r="B259" s="23"/>
      <c r="C259" s="14">
        <v>0</v>
      </c>
      <c r="D259" s="14">
        <v>0</v>
      </c>
      <c r="E259" s="14">
        <v>0</v>
      </c>
      <c r="F259" s="14">
        <v>0</v>
      </c>
      <c r="G259" s="14">
        <v>0</v>
      </c>
      <c r="H259" s="23"/>
      <c r="I259" s="14">
        <v>0</v>
      </c>
      <c r="J259" s="14">
        <v>0</v>
      </c>
      <c r="K259" s="14">
        <v>0</v>
      </c>
      <c r="L259" s="14">
        <v>0</v>
      </c>
      <c r="M259" s="14">
        <v>0</v>
      </c>
      <c r="N259" s="23"/>
      <c r="O259" s="5">
        <f t="shared" si="19"/>
        <v>252</v>
      </c>
      <c r="P259" s="15">
        <f t="shared" ca="1" si="20"/>
        <v>0</v>
      </c>
      <c r="Q259" s="5">
        <f ca="1">IF(O259&gt;$D$2,0,IF($F$2=Choices!$A$2,IF(O259&gt;$E$2,OFFSET(LiborCurve!$A$1,O259,0)+$C$2,$B$2),$B$2))</f>
        <v>0</v>
      </c>
      <c r="R259" s="14">
        <f t="shared" ca="1" si="21"/>
        <v>0</v>
      </c>
      <c r="S259" s="14">
        <f>IF(O259&gt;$D$2,0,IF($G$2=Choices!$B$1,-PMT(Q259/12,$D$2-(O259-1),P259),0))</f>
        <v>0</v>
      </c>
      <c r="T259" s="14">
        <f ca="1">IF(AND($G$2=Choices!$B$2,O259=$D$2),P259,IF(AND($G$2=Choices!$B$2,O259&lt;$D$2),0,S259-R259))</f>
        <v>0</v>
      </c>
      <c r="U259" s="14">
        <f t="shared" ca="1" si="22"/>
        <v>0</v>
      </c>
      <c r="V259" s="14">
        <f t="shared" ca="1" si="23"/>
        <v>0</v>
      </c>
    </row>
    <row r="260" spans="1:22" x14ac:dyDescent="0.2">
      <c r="A260" s="5">
        <f t="shared" si="18"/>
        <v>253</v>
      </c>
      <c r="B260" s="23"/>
      <c r="C260" s="14">
        <v>0</v>
      </c>
      <c r="D260" s="14">
        <v>0</v>
      </c>
      <c r="E260" s="14">
        <v>0</v>
      </c>
      <c r="F260" s="14">
        <v>0</v>
      </c>
      <c r="G260" s="14">
        <v>0</v>
      </c>
      <c r="H260" s="23"/>
      <c r="I260" s="14">
        <v>0</v>
      </c>
      <c r="J260" s="14">
        <v>0</v>
      </c>
      <c r="K260" s="14">
        <v>0</v>
      </c>
      <c r="L260" s="14">
        <v>0</v>
      </c>
      <c r="M260" s="14">
        <v>0</v>
      </c>
      <c r="N260" s="23"/>
      <c r="O260" s="5">
        <f t="shared" si="19"/>
        <v>253</v>
      </c>
      <c r="P260" s="15">
        <f t="shared" ca="1" si="20"/>
        <v>0</v>
      </c>
      <c r="Q260" s="5">
        <f ca="1">IF(O260&gt;$D$2,0,IF($F$2=Choices!$A$2,IF(O260&gt;$E$2,OFFSET(LiborCurve!$A$1,O260,0)+$C$2,$B$2),$B$2))</f>
        <v>0</v>
      </c>
      <c r="R260" s="14">
        <f t="shared" ca="1" si="21"/>
        <v>0</v>
      </c>
      <c r="S260" s="14">
        <f>IF(O260&gt;$D$2,0,IF($G$2=Choices!$B$1,-PMT(Q260/12,$D$2-(O260-1),P260),0))</f>
        <v>0</v>
      </c>
      <c r="T260" s="14">
        <f ca="1">IF(AND($G$2=Choices!$B$2,O260=$D$2),P260,IF(AND($G$2=Choices!$B$2,O260&lt;$D$2),0,S260-R260))</f>
        <v>0</v>
      </c>
      <c r="U260" s="14">
        <f t="shared" ca="1" si="22"/>
        <v>0</v>
      </c>
      <c r="V260" s="14">
        <f t="shared" ca="1" si="23"/>
        <v>0</v>
      </c>
    </row>
    <row r="261" spans="1:22" x14ac:dyDescent="0.2">
      <c r="A261" s="5">
        <f t="shared" si="18"/>
        <v>254</v>
      </c>
      <c r="B261" s="23"/>
      <c r="C261" s="14">
        <v>0</v>
      </c>
      <c r="D261" s="14">
        <v>0</v>
      </c>
      <c r="E261" s="14">
        <v>0</v>
      </c>
      <c r="F261" s="14">
        <v>0</v>
      </c>
      <c r="G261" s="14">
        <v>0</v>
      </c>
      <c r="H261" s="23"/>
      <c r="I261" s="14">
        <v>0</v>
      </c>
      <c r="J261" s="14">
        <v>0</v>
      </c>
      <c r="K261" s="14">
        <v>0</v>
      </c>
      <c r="L261" s="14">
        <v>0</v>
      </c>
      <c r="M261" s="14">
        <v>0</v>
      </c>
      <c r="N261" s="23"/>
      <c r="O261" s="5">
        <f t="shared" si="19"/>
        <v>254</v>
      </c>
      <c r="P261" s="15">
        <f t="shared" ca="1" si="20"/>
        <v>0</v>
      </c>
      <c r="Q261" s="5">
        <f ca="1">IF(O261&gt;$D$2,0,IF($F$2=Choices!$A$2,IF(O261&gt;$E$2,OFFSET(LiborCurve!$A$1,O261,0)+$C$2,$B$2),$B$2))</f>
        <v>0</v>
      </c>
      <c r="R261" s="14">
        <f t="shared" ca="1" si="21"/>
        <v>0</v>
      </c>
      <c r="S261" s="14">
        <f>IF(O261&gt;$D$2,0,IF($G$2=Choices!$B$1,-PMT(Q261/12,$D$2-(O261-1),P261),0))</f>
        <v>0</v>
      </c>
      <c r="T261" s="14">
        <f ca="1">IF(AND($G$2=Choices!$B$2,O261=$D$2),P261,IF(AND($G$2=Choices!$B$2,O261&lt;$D$2),0,S261-R261))</f>
        <v>0</v>
      </c>
      <c r="U261" s="14">
        <f t="shared" ca="1" si="22"/>
        <v>0</v>
      </c>
      <c r="V261" s="14">
        <f t="shared" ca="1" si="23"/>
        <v>0</v>
      </c>
    </row>
    <row r="262" spans="1:22" x14ac:dyDescent="0.2">
      <c r="A262" s="5">
        <f t="shared" si="18"/>
        <v>255</v>
      </c>
      <c r="B262" s="23"/>
      <c r="C262" s="14">
        <v>0</v>
      </c>
      <c r="D262" s="14">
        <v>0</v>
      </c>
      <c r="E262" s="14">
        <v>0</v>
      </c>
      <c r="F262" s="14">
        <v>0</v>
      </c>
      <c r="G262" s="14">
        <v>0</v>
      </c>
      <c r="H262" s="23"/>
      <c r="I262" s="14">
        <v>0</v>
      </c>
      <c r="J262" s="14">
        <v>0</v>
      </c>
      <c r="K262" s="14">
        <v>0</v>
      </c>
      <c r="L262" s="14">
        <v>0</v>
      </c>
      <c r="M262" s="14">
        <v>0</v>
      </c>
      <c r="N262" s="23"/>
      <c r="O262" s="5">
        <f t="shared" si="19"/>
        <v>255</v>
      </c>
      <c r="P262" s="15">
        <f t="shared" ca="1" si="20"/>
        <v>0</v>
      </c>
      <c r="Q262" s="5">
        <f ca="1">IF(O262&gt;$D$2,0,IF($F$2=Choices!$A$2,IF(O262&gt;$E$2,OFFSET(LiborCurve!$A$1,O262,0)+$C$2,$B$2),$B$2))</f>
        <v>0</v>
      </c>
      <c r="R262" s="14">
        <f t="shared" ca="1" si="21"/>
        <v>0</v>
      </c>
      <c r="S262" s="14">
        <f>IF(O262&gt;$D$2,0,IF($G$2=Choices!$B$1,-PMT(Q262/12,$D$2-(O262-1),P262),0))</f>
        <v>0</v>
      </c>
      <c r="T262" s="14">
        <f ca="1">IF(AND($G$2=Choices!$B$2,O262=$D$2),P262,IF(AND($G$2=Choices!$B$2,O262&lt;$D$2),0,S262-R262))</f>
        <v>0</v>
      </c>
      <c r="U262" s="14">
        <f t="shared" ca="1" si="22"/>
        <v>0</v>
      </c>
      <c r="V262" s="14">
        <f t="shared" ca="1" si="23"/>
        <v>0</v>
      </c>
    </row>
    <row r="263" spans="1:22" x14ac:dyDescent="0.2">
      <c r="A263" s="5">
        <f t="shared" si="18"/>
        <v>256</v>
      </c>
      <c r="B263" s="23"/>
      <c r="C263" s="14">
        <v>0</v>
      </c>
      <c r="D263" s="14">
        <v>0</v>
      </c>
      <c r="E263" s="14">
        <v>0</v>
      </c>
      <c r="F263" s="14">
        <v>0</v>
      </c>
      <c r="G263" s="14">
        <v>0</v>
      </c>
      <c r="H263" s="23"/>
      <c r="I263" s="14">
        <v>0</v>
      </c>
      <c r="J263" s="14">
        <v>0</v>
      </c>
      <c r="K263" s="14">
        <v>0</v>
      </c>
      <c r="L263" s="14">
        <v>0</v>
      </c>
      <c r="M263" s="14">
        <v>0</v>
      </c>
      <c r="N263" s="23"/>
      <c r="O263" s="5">
        <f t="shared" si="19"/>
        <v>256</v>
      </c>
      <c r="P263" s="15">
        <f t="shared" ca="1" si="20"/>
        <v>0</v>
      </c>
      <c r="Q263" s="5">
        <f ca="1">IF(O263&gt;$D$2,0,IF($F$2=Choices!$A$2,IF(O263&gt;$E$2,OFFSET(LiborCurve!$A$1,O263,0)+$C$2,$B$2),$B$2))</f>
        <v>0</v>
      </c>
      <c r="R263" s="14">
        <f t="shared" ca="1" si="21"/>
        <v>0</v>
      </c>
      <c r="S263" s="14">
        <f>IF(O263&gt;$D$2,0,IF($G$2=Choices!$B$1,-PMT(Q263/12,$D$2-(O263-1),P263),0))</f>
        <v>0</v>
      </c>
      <c r="T263" s="14">
        <f ca="1">IF(AND($G$2=Choices!$B$2,O263=$D$2),P263,IF(AND($G$2=Choices!$B$2,O263&lt;$D$2),0,S263-R263))</f>
        <v>0</v>
      </c>
      <c r="U263" s="14">
        <f t="shared" ca="1" si="22"/>
        <v>0</v>
      </c>
      <c r="V263" s="14">
        <f t="shared" ca="1" si="23"/>
        <v>0</v>
      </c>
    </row>
    <row r="264" spans="1:22" x14ac:dyDescent="0.2">
      <c r="A264" s="5">
        <f t="shared" si="18"/>
        <v>257</v>
      </c>
      <c r="B264" s="23"/>
      <c r="C264" s="14">
        <v>0</v>
      </c>
      <c r="D264" s="14">
        <v>0</v>
      </c>
      <c r="E264" s="14">
        <v>0</v>
      </c>
      <c r="F264" s="14">
        <v>0</v>
      </c>
      <c r="G264" s="14">
        <v>0</v>
      </c>
      <c r="H264" s="23"/>
      <c r="I264" s="14">
        <v>0</v>
      </c>
      <c r="J264" s="14">
        <v>0</v>
      </c>
      <c r="K264" s="14">
        <v>0</v>
      </c>
      <c r="L264" s="14">
        <v>0</v>
      </c>
      <c r="M264" s="14">
        <v>0</v>
      </c>
      <c r="N264" s="23"/>
      <c r="O264" s="5">
        <f t="shared" si="19"/>
        <v>257</v>
      </c>
      <c r="P264" s="15">
        <f t="shared" ca="1" si="20"/>
        <v>0</v>
      </c>
      <c r="Q264" s="5">
        <f ca="1">IF(O264&gt;$D$2,0,IF($F$2=Choices!$A$2,IF(O264&gt;$E$2,OFFSET(LiborCurve!$A$1,O264,0)+$C$2,$B$2),$B$2))</f>
        <v>0</v>
      </c>
      <c r="R264" s="14">
        <f t="shared" ca="1" si="21"/>
        <v>0</v>
      </c>
      <c r="S264" s="14">
        <f>IF(O264&gt;$D$2,0,IF($G$2=Choices!$B$1,-PMT(Q264/12,$D$2-(O264-1),P264),0))</f>
        <v>0</v>
      </c>
      <c r="T264" s="14">
        <f ca="1">IF(AND($G$2=Choices!$B$2,O264=$D$2),P264,IF(AND($G$2=Choices!$B$2,O264&lt;$D$2),0,S264-R264))</f>
        <v>0</v>
      </c>
      <c r="U264" s="14">
        <f t="shared" ca="1" si="22"/>
        <v>0</v>
      </c>
      <c r="V264" s="14">
        <f t="shared" ca="1" si="23"/>
        <v>0</v>
      </c>
    </row>
    <row r="265" spans="1:22" x14ac:dyDescent="0.2">
      <c r="A265" s="5">
        <f t="shared" si="18"/>
        <v>258</v>
      </c>
      <c r="B265" s="23"/>
      <c r="C265" s="14">
        <v>0</v>
      </c>
      <c r="D265" s="14">
        <v>0</v>
      </c>
      <c r="E265" s="14">
        <v>0</v>
      </c>
      <c r="F265" s="14">
        <v>0</v>
      </c>
      <c r="G265" s="14">
        <v>0</v>
      </c>
      <c r="H265" s="23"/>
      <c r="I265" s="14">
        <v>0</v>
      </c>
      <c r="J265" s="14">
        <v>0</v>
      </c>
      <c r="K265" s="14">
        <v>0</v>
      </c>
      <c r="L265" s="14">
        <v>0</v>
      </c>
      <c r="M265" s="14">
        <v>0</v>
      </c>
      <c r="N265" s="23"/>
      <c r="O265" s="5">
        <f t="shared" si="19"/>
        <v>258</v>
      </c>
      <c r="P265" s="15">
        <f t="shared" ca="1" si="20"/>
        <v>0</v>
      </c>
      <c r="Q265" s="5">
        <f ca="1">IF(O265&gt;$D$2,0,IF($F$2=Choices!$A$2,IF(O265&gt;$E$2,OFFSET(LiborCurve!$A$1,O265,0)+$C$2,$B$2),$B$2))</f>
        <v>0</v>
      </c>
      <c r="R265" s="14">
        <f t="shared" ca="1" si="21"/>
        <v>0</v>
      </c>
      <c r="S265" s="14">
        <f>IF(O265&gt;$D$2,0,IF($G$2=Choices!$B$1,-PMT(Q265/12,$D$2-(O265-1),P265),0))</f>
        <v>0</v>
      </c>
      <c r="T265" s="14">
        <f ca="1">IF(AND($G$2=Choices!$B$2,O265=$D$2),P265,IF(AND($G$2=Choices!$B$2,O265&lt;$D$2),0,S265-R265))</f>
        <v>0</v>
      </c>
      <c r="U265" s="14">
        <f t="shared" ca="1" si="22"/>
        <v>0</v>
      </c>
      <c r="V265" s="14">
        <f t="shared" ca="1" si="23"/>
        <v>0</v>
      </c>
    </row>
    <row r="266" spans="1:22" x14ac:dyDescent="0.2">
      <c r="A266" s="5">
        <f t="shared" ref="A266:A329" si="24">A265+1</f>
        <v>259</v>
      </c>
      <c r="B266" s="23"/>
      <c r="C266" s="14">
        <v>0</v>
      </c>
      <c r="D266" s="14">
        <v>0</v>
      </c>
      <c r="E266" s="14">
        <v>0</v>
      </c>
      <c r="F266" s="14">
        <v>0</v>
      </c>
      <c r="G266" s="14">
        <v>0</v>
      </c>
      <c r="H266" s="23"/>
      <c r="I266" s="14">
        <v>0</v>
      </c>
      <c r="J266" s="14">
        <v>0</v>
      </c>
      <c r="K266" s="14">
        <v>0</v>
      </c>
      <c r="L266" s="14">
        <v>0</v>
      </c>
      <c r="M266" s="14">
        <v>0</v>
      </c>
      <c r="N266" s="23"/>
      <c r="O266" s="5">
        <f t="shared" ref="O266:O329" si="25">O265+1</f>
        <v>259</v>
      </c>
      <c r="P266" s="15">
        <f t="shared" ref="P266:P329" ca="1" si="26">V265</f>
        <v>0</v>
      </c>
      <c r="Q266" s="5">
        <f ca="1">IF(O266&gt;$D$2,0,IF($F$2=Choices!$A$2,IF(O266&gt;$E$2,OFFSET(LiborCurve!$A$1,O266,0)+$C$2,$B$2),$B$2))</f>
        <v>0</v>
      </c>
      <c r="R266" s="14">
        <f t="shared" ref="R266:R329" ca="1" si="27">P266*Q266/12</f>
        <v>0</v>
      </c>
      <c r="S266" s="14">
        <f>IF(O266&gt;$D$2,0,IF($G$2=Choices!$B$1,-PMT(Q266/12,$D$2-(O266-1),P266),0))</f>
        <v>0</v>
      </c>
      <c r="T266" s="14">
        <f ca="1">IF(AND($G$2=Choices!$B$2,O266=$D$2),P266,IF(AND($G$2=Choices!$B$2,O266&lt;$D$2),0,S266-R266))</f>
        <v>0</v>
      </c>
      <c r="U266" s="14">
        <f t="shared" ref="U266:U329" ca="1" si="28">R266+T266</f>
        <v>0</v>
      </c>
      <c r="V266" s="14">
        <f t="shared" ref="V266:V329" ca="1" si="29">P266-T266</f>
        <v>0</v>
      </c>
    </row>
    <row r="267" spans="1:22" x14ac:dyDescent="0.2">
      <c r="A267" s="5">
        <f t="shared" si="24"/>
        <v>260</v>
      </c>
      <c r="B267" s="23"/>
      <c r="C267" s="14">
        <v>0</v>
      </c>
      <c r="D267" s="14">
        <v>0</v>
      </c>
      <c r="E267" s="14">
        <v>0</v>
      </c>
      <c r="F267" s="14">
        <v>0</v>
      </c>
      <c r="G267" s="14">
        <v>0</v>
      </c>
      <c r="H267" s="23"/>
      <c r="I267" s="14">
        <v>0</v>
      </c>
      <c r="J267" s="14">
        <v>0</v>
      </c>
      <c r="K267" s="14">
        <v>0</v>
      </c>
      <c r="L267" s="14">
        <v>0</v>
      </c>
      <c r="M267" s="14">
        <v>0</v>
      </c>
      <c r="N267" s="23"/>
      <c r="O267" s="5">
        <f t="shared" si="25"/>
        <v>260</v>
      </c>
      <c r="P267" s="15">
        <f t="shared" ca="1" si="26"/>
        <v>0</v>
      </c>
      <c r="Q267" s="5">
        <f ca="1">IF(O267&gt;$D$2,0,IF($F$2=Choices!$A$2,IF(O267&gt;$E$2,OFFSET(LiborCurve!$A$1,O267,0)+$C$2,$B$2),$B$2))</f>
        <v>0</v>
      </c>
      <c r="R267" s="14">
        <f t="shared" ca="1" si="27"/>
        <v>0</v>
      </c>
      <c r="S267" s="14">
        <f>IF(O267&gt;$D$2,0,IF($G$2=Choices!$B$1,-PMT(Q267/12,$D$2-(O267-1),P267),0))</f>
        <v>0</v>
      </c>
      <c r="T267" s="14">
        <f ca="1">IF(AND($G$2=Choices!$B$2,O267=$D$2),P267,IF(AND($G$2=Choices!$B$2,O267&lt;$D$2),0,S267-R267))</f>
        <v>0</v>
      </c>
      <c r="U267" s="14">
        <f t="shared" ca="1" si="28"/>
        <v>0</v>
      </c>
      <c r="V267" s="14">
        <f t="shared" ca="1" si="29"/>
        <v>0</v>
      </c>
    </row>
    <row r="268" spans="1:22" x14ac:dyDescent="0.2">
      <c r="A268" s="5">
        <f t="shared" si="24"/>
        <v>261</v>
      </c>
      <c r="B268" s="23"/>
      <c r="C268" s="14">
        <v>0</v>
      </c>
      <c r="D268" s="14">
        <v>0</v>
      </c>
      <c r="E268" s="14">
        <v>0</v>
      </c>
      <c r="F268" s="14">
        <v>0</v>
      </c>
      <c r="G268" s="14">
        <v>0</v>
      </c>
      <c r="H268" s="23"/>
      <c r="I268" s="14">
        <v>0</v>
      </c>
      <c r="J268" s="14">
        <v>0</v>
      </c>
      <c r="K268" s="14">
        <v>0</v>
      </c>
      <c r="L268" s="14">
        <v>0</v>
      </c>
      <c r="M268" s="14">
        <v>0</v>
      </c>
      <c r="N268" s="23"/>
      <c r="O268" s="5">
        <f t="shared" si="25"/>
        <v>261</v>
      </c>
      <c r="P268" s="15">
        <f t="shared" ca="1" si="26"/>
        <v>0</v>
      </c>
      <c r="Q268" s="5">
        <f ca="1">IF(O268&gt;$D$2,0,IF($F$2=Choices!$A$2,IF(O268&gt;$E$2,OFFSET(LiborCurve!$A$1,O268,0)+$C$2,$B$2),$B$2))</f>
        <v>0</v>
      </c>
      <c r="R268" s="14">
        <f t="shared" ca="1" si="27"/>
        <v>0</v>
      </c>
      <c r="S268" s="14">
        <f>IF(O268&gt;$D$2,0,IF($G$2=Choices!$B$1,-PMT(Q268/12,$D$2-(O268-1),P268),0))</f>
        <v>0</v>
      </c>
      <c r="T268" s="14">
        <f ca="1">IF(AND($G$2=Choices!$B$2,O268=$D$2),P268,IF(AND($G$2=Choices!$B$2,O268&lt;$D$2),0,S268-R268))</f>
        <v>0</v>
      </c>
      <c r="U268" s="14">
        <f t="shared" ca="1" si="28"/>
        <v>0</v>
      </c>
      <c r="V268" s="14">
        <f t="shared" ca="1" si="29"/>
        <v>0</v>
      </c>
    </row>
    <row r="269" spans="1:22" x14ac:dyDescent="0.2">
      <c r="A269" s="5">
        <f t="shared" si="24"/>
        <v>262</v>
      </c>
      <c r="B269" s="23"/>
      <c r="C269" s="14">
        <v>0</v>
      </c>
      <c r="D269" s="14">
        <v>0</v>
      </c>
      <c r="E269" s="14">
        <v>0</v>
      </c>
      <c r="F269" s="14">
        <v>0</v>
      </c>
      <c r="G269" s="14">
        <v>0</v>
      </c>
      <c r="H269" s="23"/>
      <c r="I269" s="14">
        <v>0</v>
      </c>
      <c r="J269" s="14">
        <v>0</v>
      </c>
      <c r="K269" s="14">
        <v>0</v>
      </c>
      <c r="L269" s="14">
        <v>0</v>
      </c>
      <c r="M269" s="14">
        <v>0</v>
      </c>
      <c r="N269" s="23"/>
      <c r="O269" s="5">
        <f t="shared" si="25"/>
        <v>262</v>
      </c>
      <c r="P269" s="15">
        <f t="shared" ca="1" si="26"/>
        <v>0</v>
      </c>
      <c r="Q269" s="5">
        <f ca="1">IF(O269&gt;$D$2,0,IF($F$2=Choices!$A$2,IF(O269&gt;$E$2,OFFSET(LiborCurve!$A$1,O269,0)+$C$2,$B$2),$B$2))</f>
        <v>0</v>
      </c>
      <c r="R269" s="14">
        <f t="shared" ca="1" si="27"/>
        <v>0</v>
      </c>
      <c r="S269" s="14">
        <f>IF(O269&gt;$D$2,0,IF($G$2=Choices!$B$1,-PMT(Q269/12,$D$2-(O269-1),P269),0))</f>
        <v>0</v>
      </c>
      <c r="T269" s="14">
        <f ca="1">IF(AND($G$2=Choices!$B$2,O269=$D$2),P269,IF(AND($G$2=Choices!$B$2,O269&lt;$D$2),0,S269-R269))</f>
        <v>0</v>
      </c>
      <c r="U269" s="14">
        <f t="shared" ca="1" si="28"/>
        <v>0</v>
      </c>
      <c r="V269" s="14">
        <f t="shared" ca="1" si="29"/>
        <v>0</v>
      </c>
    </row>
    <row r="270" spans="1:22" x14ac:dyDescent="0.2">
      <c r="A270" s="5">
        <f t="shared" si="24"/>
        <v>263</v>
      </c>
      <c r="B270" s="23"/>
      <c r="C270" s="14">
        <v>0</v>
      </c>
      <c r="D270" s="14">
        <v>0</v>
      </c>
      <c r="E270" s="14">
        <v>0</v>
      </c>
      <c r="F270" s="14">
        <v>0</v>
      </c>
      <c r="G270" s="14">
        <v>0</v>
      </c>
      <c r="H270" s="23"/>
      <c r="I270" s="14">
        <v>0</v>
      </c>
      <c r="J270" s="14">
        <v>0</v>
      </c>
      <c r="K270" s="14">
        <v>0</v>
      </c>
      <c r="L270" s="14">
        <v>0</v>
      </c>
      <c r="M270" s="14">
        <v>0</v>
      </c>
      <c r="N270" s="23"/>
      <c r="O270" s="5">
        <f t="shared" si="25"/>
        <v>263</v>
      </c>
      <c r="P270" s="15">
        <f t="shared" ca="1" si="26"/>
        <v>0</v>
      </c>
      <c r="Q270" s="5">
        <f ca="1">IF(O270&gt;$D$2,0,IF($F$2=Choices!$A$2,IF(O270&gt;$E$2,OFFSET(LiborCurve!$A$1,O270,0)+$C$2,$B$2),$B$2))</f>
        <v>0</v>
      </c>
      <c r="R270" s="14">
        <f t="shared" ca="1" si="27"/>
        <v>0</v>
      </c>
      <c r="S270" s="14">
        <f>IF(O270&gt;$D$2,0,IF($G$2=Choices!$B$1,-PMT(Q270/12,$D$2-(O270-1),P270),0))</f>
        <v>0</v>
      </c>
      <c r="T270" s="14">
        <f ca="1">IF(AND($G$2=Choices!$B$2,O270=$D$2),P270,IF(AND($G$2=Choices!$B$2,O270&lt;$D$2),0,S270-R270))</f>
        <v>0</v>
      </c>
      <c r="U270" s="14">
        <f t="shared" ca="1" si="28"/>
        <v>0</v>
      </c>
      <c r="V270" s="14">
        <f t="shared" ca="1" si="29"/>
        <v>0</v>
      </c>
    </row>
    <row r="271" spans="1:22" x14ac:dyDescent="0.2">
      <c r="A271" s="5">
        <f t="shared" si="24"/>
        <v>264</v>
      </c>
      <c r="B271" s="23"/>
      <c r="C271" s="14">
        <v>0</v>
      </c>
      <c r="D271" s="14">
        <v>0</v>
      </c>
      <c r="E271" s="14">
        <v>0</v>
      </c>
      <c r="F271" s="14">
        <v>0</v>
      </c>
      <c r="G271" s="14">
        <v>0</v>
      </c>
      <c r="H271" s="23"/>
      <c r="I271" s="14">
        <v>0</v>
      </c>
      <c r="J271" s="14">
        <v>0</v>
      </c>
      <c r="K271" s="14">
        <v>0</v>
      </c>
      <c r="L271" s="14">
        <v>0</v>
      </c>
      <c r="M271" s="14">
        <v>0</v>
      </c>
      <c r="N271" s="23"/>
      <c r="O271" s="5">
        <f t="shared" si="25"/>
        <v>264</v>
      </c>
      <c r="P271" s="15">
        <f t="shared" ca="1" si="26"/>
        <v>0</v>
      </c>
      <c r="Q271" s="5">
        <f ca="1">IF(O271&gt;$D$2,0,IF($F$2=Choices!$A$2,IF(O271&gt;$E$2,OFFSET(LiborCurve!$A$1,O271,0)+$C$2,$B$2),$B$2))</f>
        <v>0</v>
      </c>
      <c r="R271" s="14">
        <f t="shared" ca="1" si="27"/>
        <v>0</v>
      </c>
      <c r="S271" s="14">
        <f>IF(O271&gt;$D$2,0,IF($G$2=Choices!$B$1,-PMT(Q271/12,$D$2-(O271-1),P271),0))</f>
        <v>0</v>
      </c>
      <c r="T271" s="14">
        <f ca="1">IF(AND($G$2=Choices!$B$2,O271=$D$2),P271,IF(AND($G$2=Choices!$B$2,O271&lt;$D$2),0,S271-R271))</f>
        <v>0</v>
      </c>
      <c r="U271" s="14">
        <f t="shared" ca="1" si="28"/>
        <v>0</v>
      </c>
      <c r="V271" s="14">
        <f t="shared" ca="1" si="29"/>
        <v>0</v>
      </c>
    </row>
    <row r="272" spans="1:22" x14ac:dyDescent="0.2">
      <c r="A272" s="5">
        <f t="shared" si="24"/>
        <v>265</v>
      </c>
      <c r="B272" s="23"/>
      <c r="C272" s="14">
        <v>0</v>
      </c>
      <c r="D272" s="14">
        <v>0</v>
      </c>
      <c r="E272" s="14">
        <v>0</v>
      </c>
      <c r="F272" s="14">
        <v>0</v>
      </c>
      <c r="G272" s="14">
        <v>0</v>
      </c>
      <c r="H272" s="23"/>
      <c r="I272" s="14">
        <v>0</v>
      </c>
      <c r="J272" s="14">
        <v>0</v>
      </c>
      <c r="K272" s="14">
        <v>0</v>
      </c>
      <c r="L272" s="14">
        <v>0</v>
      </c>
      <c r="M272" s="14">
        <v>0</v>
      </c>
      <c r="N272" s="23"/>
      <c r="O272" s="5">
        <f t="shared" si="25"/>
        <v>265</v>
      </c>
      <c r="P272" s="15">
        <f t="shared" ca="1" si="26"/>
        <v>0</v>
      </c>
      <c r="Q272" s="5">
        <f ca="1">IF(O272&gt;$D$2,0,IF($F$2=Choices!$A$2,IF(O272&gt;$E$2,OFFSET(LiborCurve!$A$1,O272,0)+$C$2,$B$2),$B$2))</f>
        <v>0</v>
      </c>
      <c r="R272" s="14">
        <f t="shared" ca="1" si="27"/>
        <v>0</v>
      </c>
      <c r="S272" s="14">
        <f>IF(O272&gt;$D$2,0,IF($G$2=Choices!$B$1,-PMT(Q272/12,$D$2-(O272-1),P272),0))</f>
        <v>0</v>
      </c>
      <c r="T272" s="14">
        <f ca="1">IF(AND($G$2=Choices!$B$2,O272=$D$2),P272,IF(AND($G$2=Choices!$B$2,O272&lt;$D$2),0,S272-R272))</f>
        <v>0</v>
      </c>
      <c r="U272" s="14">
        <f t="shared" ca="1" si="28"/>
        <v>0</v>
      </c>
      <c r="V272" s="14">
        <f t="shared" ca="1" si="29"/>
        <v>0</v>
      </c>
    </row>
    <row r="273" spans="1:22" x14ac:dyDescent="0.2">
      <c r="A273" s="5">
        <f t="shared" si="24"/>
        <v>266</v>
      </c>
      <c r="B273" s="23"/>
      <c r="C273" s="14">
        <v>0</v>
      </c>
      <c r="D273" s="14">
        <v>0</v>
      </c>
      <c r="E273" s="14">
        <v>0</v>
      </c>
      <c r="F273" s="14">
        <v>0</v>
      </c>
      <c r="G273" s="14">
        <v>0</v>
      </c>
      <c r="H273" s="23"/>
      <c r="I273" s="14">
        <v>0</v>
      </c>
      <c r="J273" s="14">
        <v>0</v>
      </c>
      <c r="K273" s="14">
        <v>0</v>
      </c>
      <c r="L273" s="14">
        <v>0</v>
      </c>
      <c r="M273" s="14">
        <v>0</v>
      </c>
      <c r="N273" s="23"/>
      <c r="O273" s="5">
        <f t="shared" si="25"/>
        <v>266</v>
      </c>
      <c r="P273" s="15">
        <f t="shared" ca="1" si="26"/>
        <v>0</v>
      </c>
      <c r="Q273" s="5">
        <f ca="1">IF(O273&gt;$D$2,0,IF($F$2=Choices!$A$2,IF(O273&gt;$E$2,OFFSET(LiborCurve!$A$1,O273,0)+$C$2,$B$2),$B$2))</f>
        <v>0</v>
      </c>
      <c r="R273" s="14">
        <f t="shared" ca="1" si="27"/>
        <v>0</v>
      </c>
      <c r="S273" s="14">
        <f>IF(O273&gt;$D$2,0,IF($G$2=Choices!$B$1,-PMT(Q273/12,$D$2-(O273-1),P273),0))</f>
        <v>0</v>
      </c>
      <c r="T273" s="14">
        <f ca="1">IF(AND($G$2=Choices!$B$2,O273=$D$2),P273,IF(AND($G$2=Choices!$B$2,O273&lt;$D$2),0,S273-R273))</f>
        <v>0</v>
      </c>
      <c r="U273" s="14">
        <f t="shared" ca="1" si="28"/>
        <v>0</v>
      </c>
      <c r="V273" s="14">
        <f t="shared" ca="1" si="29"/>
        <v>0</v>
      </c>
    </row>
    <row r="274" spans="1:22" x14ac:dyDescent="0.2">
      <c r="A274" s="5">
        <f t="shared" si="24"/>
        <v>267</v>
      </c>
      <c r="B274" s="23"/>
      <c r="C274" s="14">
        <v>0</v>
      </c>
      <c r="D274" s="14">
        <v>0</v>
      </c>
      <c r="E274" s="14">
        <v>0</v>
      </c>
      <c r="F274" s="14">
        <v>0</v>
      </c>
      <c r="G274" s="14">
        <v>0</v>
      </c>
      <c r="H274" s="23"/>
      <c r="I274" s="14">
        <v>0</v>
      </c>
      <c r="J274" s="14">
        <v>0</v>
      </c>
      <c r="K274" s="14">
        <v>0</v>
      </c>
      <c r="L274" s="14">
        <v>0</v>
      </c>
      <c r="M274" s="14">
        <v>0</v>
      </c>
      <c r="N274" s="23"/>
      <c r="O274" s="5">
        <f t="shared" si="25"/>
        <v>267</v>
      </c>
      <c r="P274" s="15">
        <f t="shared" ca="1" si="26"/>
        <v>0</v>
      </c>
      <c r="Q274" s="5">
        <f ca="1">IF(O274&gt;$D$2,0,IF($F$2=Choices!$A$2,IF(O274&gt;$E$2,OFFSET(LiborCurve!$A$1,O274,0)+$C$2,$B$2),$B$2))</f>
        <v>0</v>
      </c>
      <c r="R274" s="14">
        <f t="shared" ca="1" si="27"/>
        <v>0</v>
      </c>
      <c r="S274" s="14">
        <f>IF(O274&gt;$D$2,0,IF($G$2=Choices!$B$1,-PMT(Q274/12,$D$2-(O274-1),P274),0))</f>
        <v>0</v>
      </c>
      <c r="T274" s="14">
        <f ca="1">IF(AND($G$2=Choices!$B$2,O274=$D$2),P274,IF(AND($G$2=Choices!$B$2,O274&lt;$D$2),0,S274-R274))</f>
        <v>0</v>
      </c>
      <c r="U274" s="14">
        <f t="shared" ca="1" si="28"/>
        <v>0</v>
      </c>
      <c r="V274" s="14">
        <f t="shared" ca="1" si="29"/>
        <v>0</v>
      </c>
    </row>
    <row r="275" spans="1:22" x14ac:dyDescent="0.2">
      <c r="A275" s="5">
        <f t="shared" si="24"/>
        <v>268</v>
      </c>
      <c r="B275" s="23"/>
      <c r="C275" s="14">
        <v>0</v>
      </c>
      <c r="D275" s="14">
        <v>0</v>
      </c>
      <c r="E275" s="14">
        <v>0</v>
      </c>
      <c r="F275" s="14">
        <v>0</v>
      </c>
      <c r="G275" s="14">
        <v>0</v>
      </c>
      <c r="H275" s="23"/>
      <c r="I275" s="14">
        <v>0</v>
      </c>
      <c r="J275" s="14">
        <v>0</v>
      </c>
      <c r="K275" s="14">
        <v>0</v>
      </c>
      <c r="L275" s="14">
        <v>0</v>
      </c>
      <c r="M275" s="14">
        <v>0</v>
      </c>
      <c r="N275" s="23"/>
      <c r="O275" s="5">
        <f t="shared" si="25"/>
        <v>268</v>
      </c>
      <c r="P275" s="15">
        <f t="shared" ca="1" si="26"/>
        <v>0</v>
      </c>
      <c r="Q275" s="5">
        <f ca="1">IF(O275&gt;$D$2,0,IF($F$2=Choices!$A$2,IF(O275&gt;$E$2,OFFSET(LiborCurve!$A$1,O275,0)+$C$2,$B$2),$B$2))</f>
        <v>0</v>
      </c>
      <c r="R275" s="14">
        <f t="shared" ca="1" si="27"/>
        <v>0</v>
      </c>
      <c r="S275" s="14">
        <f>IF(O275&gt;$D$2,0,IF($G$2=Choices!$B$1,-PMT(Q275/12,$D$2-(O275-1),P275),0))</f>
        <v>0</v>
      </c>
      <c r="T275" s="14">
        <f ca="1">IF(AND($G$2=Choices!$B$2,O275=$D$2),P275,IF(AND($G$2=Choices!$B$2,O275&lt;$D$2),0,S275-R275))</f>
        <v>0</v>
      </c>
      <c r="U275" s="14">
        <f t="shared" ca="1" si="28"/>
        <v>0</v>
      </c>
      <c r="V275" s="14">
        <f t="shared" ca="1" si="29"/>
        <v>0</v>
      </c>
    </row>
    <row r="276" spans="1:22" x14ac:dyDescent="0.2">
      <c r="A276" s="5">
        <f t="shared" si="24"/>
        <v>269</v>
      </c>
      <c r="B276" s="23"/>
      <c r="C276" s="14">
        <v>0</v>
      </c>
      <c r="D276" s="14">
        <v>0</v>
      </c>
      <c r="E276" s="14">
        <v>0</v>
      </c>
      <c r="F276" s="14">
        <v>0</v>
      </c>
      <c r="G276" s="14">
        <v>0</v>
      </c>
      <c r="H276" s="23"/>
      <c r="I276" s="14">
        <v>0</v>
      </c>
      <c r="J276" s="14">
        <v>0</v>
      </c>
      <c r="K276" s="14">
        <v>0</v>
      </c>
      <c r="L276" s="14">
        <v>0</v>
      </c>
      <c r="M276" s="14">
        <v>0</v>
      </c>
      <c r="N276" s="23"/>
      <c r="O276" s="5">
        <f t="shared" si="25"/>
        <v>269</v>
      </c>
      <c r="P276" s="15">
        <f t="shared" ca="1" si="26"/>
        <v>0</v>
      </c>
      <c r="Q276" s="5">
        <f ca="1">IF(O276&gt;$D$2,0,IF($F$2=Choices!$A$2,IF(O276&gt;$E$2,OFFSET(LiborCurve!$A$1,O276,0)+$C$2,$B$2),$B$2))</f>
        <v>0</v>
      </c>
      <c r="R276" s="14">
        <f t="shared" ca="1" si="27"/>
        <v>0</v>
      </c>
      <c r="S276" s="14">
        <f>IF(O276&gt;$D$2,0,IF($G$2=Choices!$B$1,-PMT(Q276/12,$D$2-(O276-1),P276),0))</f>
        <v>0</v>
      </c>
      <c r="T276" s="14">
        <f ca="1">IF(AND($G$2=Choices!$B$2,O276=$D$2),P276,IF(AND($G$2=Choices!$B$2,O276&lt;$D$2),0,S276-R276))</f>
        <v>0</v>
      </c>
      <c r="U276" s="14">
        <f t="shared" ca="1" si="28"/>
        <v>0</v>
      </c>
      <c r="V276" s="14">
        <f t="shared" ca="1" si="29"/>
        <v>0</v>
      </c>
    </row>
    <row r="277" spans="1:22" x14ac:dyDescent="0.2">
      <c r="A277" s="5">
        <f t="shared" si="24"/>
        <v>270</v>
      </c>
      <c r="B277" s="23"/>
      <c r="C277" s="14">
        <v>0</v>
      </c>
      <c r="D277" s="14">
        <v>0</v>
      </c>
      <c r="E277" s="14">
        <v>0</v>
      </c>
      <c r="F277" s="14">
        <v>0</v>
      </c>
      <c r="G277" s="14">
        <v>0</v>
      </c>
      <c r="H277" s="23"/>
      <c r="I277" s="14">
        <v>0</v>
      </c>
      <c r="J277" s="14">
        <v>0</v>
      </c>
      <c r="K277" s="14">
        <v>0</v>
      </c>
      <c r="L277" s="14">
        <v>0</v>
      </c>
      <c r="M277" s="14">
        <v>0</v>
      </c>
      <c r="N277" s="23"/>
      <c r="O277" s="5">
        <f t="shared" si="25"/>
        <v>270</v>
      </c>
      <c r="P277" s="15">
        <f t="shared" ca="1" si="26"/>
        <v>0</v>
      </c>
      <c r="Q277" s="5">
        <f ca="1">IF(O277&gt;$D$2,0,IF($F$2=Choices!$A$2,IF(O277&gt;$E$2,OFFSET(LiborCurve!$A$1,O277,0)+$C$2,$B$2),$B$2))</f>
        <v>0</v>
      </c>
      <c r="R277" s="14">
        <f t="shared" ca="1" si="27"/>
        <v>0</v>
      </c>
      <c r="S277" s="14">
        <f>IF(O277&gt;$D$2,0,IF($G$2=Choices!$B$1,-PMT(Q277/12,$D$2-(O277-1),P277),0))</f>
        <v>0</v>
      </c>
      <c r="T277" s="14">
        <f ca="1">IF(AND($G$2=Choices!$B$2,O277=$D$2),P277,IF(AND($G$2=Choices!$B$2,O277&lt;$D$2),0,S277-R277))</f>
        <v>0</v>
      </c>
      <c r="U277" s="14">
        <f t="shared" ca="1" si="28"/>
        <v>0</v>
      </c>
      <c r="V277" s="14">
        <f t="shared" ca="1" si="29"/>
        <v>0</v>
      </c>
    </row>
    <row r="278" spans="1:22" x14ac:dyDescent="0.2">
      <c r="A278" s="5">
        <f t="shared" si="24"/>
        <v>271</v>
      </c>
      <c r="B278" s="23"/>
      <c r="C278" s="14">
        <v>0</v>
      </c>
      <c r="D278" s="14">
        <v>0</v>
      </c>
      <c r="E278" s="14">
        <v>0</v>
      </c>
      <c r="F278" s="14">
        <v>0</v>
      </c>
      <c r="G278" s="14">
        <v>0</v>
      </c>
      <c r="H278" s="23"/>
      <c r="I278" s="14">
        <v>0</v>
      </c>
      <c r="J278" s="14">
        <v>0</v>
      </c>
      <c r="K278" s="14">
        <v>0</v>
      </c>
      <c r="L278" s="14">
        <v>0</v>
      </c>
      <c r="M278" s="14">
        <v>0</v>
      </c>
      <c r="N278" s="23"/>
      <c r="O278" s="5">
        <f t="shared" si="25"/>
        <v>271</v>
      </c>
      <c r="P278" s="15">
        <f t="shared" ca="1" si="26"/>
        <v>0</v>
      </c>
      <c r="Q278" s="5">
        <f ca="1">IF(O278&gt;$D$2,0,IF($F$2=Choices!$A$2,IF(O278&gt;$E$2,OFFSET(LiborCurve!$A$1,O278,0)+$C$2,$B$2),$B$2))</f>
        <v>0</v>
      </c>
      <c r="R278" s="14">
        <f t="shared" ca="1" si="27"/>
        <v>0</v>
      </c>
      <c r="S278" s="14">
        <f>IF(O278&gt;$D$2,0,IF($G$2=Choices!$B$1,-PMT(Q278/12,$D$2-(O278-1),P278),0))</f>
        <v>0</v>
      </c>
      <c r="T278" s="14">
        <f ca="1">IF(AND($G$2=Choices!$B$2,O278=$D$2),P278,IF(AND($G$2=Choices!$B$2,O278&lt;$D$2),0,S278-R278))</f>
        <v>0</v>
      </c>
      <c r="U278" s="14">
        <f t="shared" ca="1" si="28"/>
        <v>0</v>
      </c>
      <c r="V278" s="14">
        <f t="shared" ca="1" si="29"/>
        <v>0</v>
      </c>
    </row>
    <row r="279" spans="1:22" x14ac:dyDescent="0.2">
      <c r="A279" s="5">
        <f t="shared" si="24"/>
        <v>272</v>
      </c>
      <c r="B279" s="23"/>
      <c r="C279" s="14">
        <v>0</v>
      </c>
      <c r="D279" s="14">
        <v>0</v>
      </c>
      <c r="E279" s="14">
        <v>0</v>
      </c>
      <c r="F279" s="14">
        <v>0</v>
      </c>
      <c r="G279" s="14">
        <v>0</v>
      </c>
      <c r="H279" s="23"/>
      <c r="I279" s="14">
        <v>0</v>
      </c>
      <c r="J279" s="14">
        <v>0</v>
      </c>
      <c r="K279" s="14">
        <v>0</v>
      </c>
      <c r="L279" s="14">
        <v>0</v>
      </c>
      <c r="M279" s="14">
        <v>0</v>
      </c>
      <c r="N279" s="23"/>
      <c r="O279" s="5">
        <f t="shared" si="25"/>
        <v>272</v>
      </c>
      <c r="P279" s="15">
        <f t="shared" ca="1" si="26"/>
        <v>0</v>
      </c>
      <c r="Q279" s="5">
        <f ca="1">IF(O279&gt;$D$2,0,IF($F$2=Choices!$A$2,IF(O279&gt;$E$2,OFFSET(LiborCurve!$A$1,O279,0)+$C$2,$B$2),$B$2))</f>
        <v>0</v>
      </c>
      <c r="R279" s="14">
        <f t="shared" ca="1" si="27"/>
        <v>0</v>
      </c>
      <c r="S279" s="14">
        <f>IF(O279&gt;$D$2,0,IF($G$2=Choices!$B$1,-PMT(Q279/12,$D$2-(O279-1),P279),0))</f>
        <v>0</v>
      </c>
      <c r="T279" s="14">
        <f ca="1">IF(AND($G$2=Choices!$B$2,O279=$D$2),P279,IF(AND($G$2=Choices!$B$2,O279&lt;$D$2),0,S279-R279))</f>
        <v>0</v>
      </c>
      <c r="U279" s="14">
        <f t="shared" ca="1" si="28"/>
        <v>0</v>
      </c>
      <c r="V279" s="14">
        <f t="shared" ca="1" si="29"/>
        <v>0</v>
      </c>
    </row>
    <row r="280" spans="1:22" x14ac:dyDescent="0.2">
      <c r="A280" s="5">
        <f t="shared" si="24"/>
        <v>273</v>
      </c>
      <c r="B280" s="23"/>
      <c r="C280" s="14">
        <v>0</v>
      </c>
      <c r="D280" s="14">
        <v>0</v>
      </c>
      <c r="E280" s="14">
        <v>0</v>
      </c>
      <c r="F280" s="14">
        <v>0</v>
      </c>
      <c r="G280" s="14">
        <v>0</v>
      </c>
      <c r="H280" s="23"/>
      <c r="I280" s="14">
        <v>0</v>
      </c>
      <c r="J280" s="14">
        <v>0</v>
      </c>
      <c r="K280" s="14">
        <v>0</v>
      </c>
      <c r="L280" s="14">
        <v>0</v>
      </c>
      <c r="M280" s="14">
        <v>0</v>
      </c>
      <c r="N280" s="23"/>
      <c r="O280" s="5">
        <f t="shared" si="25"/>
        <v>273</v>
      </c>
      <c r="P280" s="15">
        <f t="shared" ca="1" si="26"/>
        <v>0</v>
      </c>
      <c r="Q280" s="5">
        <f ca="1">IF(O280&gt;$D$2,0,IF($F$2=Choices!$A$2,IF(O280&gt;$E$2,OFFSET(LiborCurve!$A$1,O280,0)+$C$2,$B$2),$B$2))</f>
        <v>0</v>
      </c>
      <c r="R280" s="14">
        <f t="shared" ca="1" si="27"/>
        <v>0</v>
      </c>
      <c r="S280" s="14">
        <f>IF(O280&gt;$D$2,0,IF($G$2=Choices!$B$1,-PMT(Q280/12,$D$2-(O280-1),P280),0))</f>
        <v>0</v>
      </c>
      <c r="T280" s="14">
        <f ca="1">IF(AND($G$2=Choices!$B$2,O280=$D$2),P280,IF(AND($G$2=Choices!$B$2,O280&lt;$D$2),0,S280-R280))</f>
        <v>0</v>
      </c>
      <c r="U280" s="14">
        <f t="shared" ca="1" si="28"/>
        <v>0</v>
      </c>
      <c r="V280" s="14">
        <f t="shared" ca="1" si="29"/>
        <v>0</v>
      </c>
    </row>
    <row r="281" spans="1:22" x14ac:dyDescent="0.2">
      <c r="A281" s="5">
        <f t="shared" si="24"/>
        <v>274</v>
      </c>
      <c r="B281" s="23"/>
      <c r="C281" s="14">
        <v>0</v>
      </c>
      <c r="D281" s="14">
        <v>0</v>
      </c>
      <c r="E281" s="14">
        <v>0</v>
      </c>
      <c r="F281" s="14">
        <v>0</v>
      </c>
      <c r="G281" s="14">
        <v>0</v>
      </c>
      <c r="H281" s="23"/>
      <c r="I281" s="14">
        <v>0</v>
      </c>
      <c r="J281" s="14">
        <v>0</v>
      </c>
      <c r="K281" s="14">
        <v>0</v>
      </c>
      <c r="L281" s="14">
        <v>0</v>
      </c>
      <c r="M281" s="14">
        <v>0</v>
      </c>
      <c r="N281" s="23"/>
      <c r="O281" s="5">
        <f t="shared" si="25"/>
        <v>274</v>
      </c>
      <c r="P281" s="15">
        <f t="shared" ca="1" si="26"/>
        <v>0</v>
      </c>
      <c r="Q281" s="5">
        <f ca="1">IF(O281&gt;$D$2,0,IF($F$2=Choices!$A$2,IF(O281&gt;$E$2,OFFSET(LiborCurve!$A$1,O281,0)+$C$2,$B$2),$B$2))</f>
        <v>0</v>
      </c>
      <c r="R281" s="14">
        <f t="shared" ca="1" si="27"/>
        <v>0</v>
      </c>
      <c r="S281" s="14">
        <f>IF(O281&gt;$D$2,0,IF($G$2=Choices!$B$1,-PMT(Q281/12,$D$2-(O281-1),P281),0))</f>
        <v>0</v>
      </c>
      <c r="T281" s="14">
        <f ca="1">IF(AND($G$2=Choices!$B$2,O281=$D$2),P281,IF(AND($G$2=Choices!$B$2,O281&lt;$D$2),0,S281-R281))</f>
        <v>0</v>
      </c>
      <c r="U281" s="14">
        <f t="shared" ca="1" si="28"/>
        <v>0</v>
      </c>
      <c r="V281" s="14">
        <f t="shared" ca="1" si="29"/>
        <v>0</v>
      </c>
    </row>
    <row r="282" spans="1:22" x14ac:dyDescent="0.2">
      <c r="A282" s="5">
        <f t="shared" si="24"/>
        <v>275</v>
      </c>
      <c r="B282" s="23"/>
      <c r="C282" s="14">
        <v>0</v>
      </c>
      <c r="D282" s="14">
        <v>0</v>
      </c>
      <c r="E282" s="14">
        <v>0</v>
      </c>
      <c r="F282" s="14">
        <v>0</v>
      </c>
      <c r="G282" s="14">
        <v>0</v>
      </c>
      <c r="H282" s="23"/>
      <c r="I282" s="14">
        <v>0</v>
      </c>
      <c r="J282" s="14">
        <v>0</v>
      </c>
      <c r="K282" s="14">
        <v>0</v>
      </c>
      <c r="L282" s="14">
        <v>0</v>
      </c>
      <c r="M282" s="14">
        <v>0</v>
      </c>
      <c r="N282" s="23"/>
      <c r="O282" s="5">
        <f t="shared" si="25"/>
        <v>275</v>
      </c>
      <c r="P282" s="15">
        <f t="shared" ca="1" si="26"/>
        <v>0</v>
      </c>
      <c r="Q282" s="5">
        <f ca="1">IF(O282&gt;$D$2,0,IF($F$2=Choices!$A$2,IF(O282&gt;$E$2,OFFSET(LiborCurve!$A$1,O282,0)+$C$2,$B$2),$B$2))</f>
        <v>0</v>
      </c>
      <c r="R282" s="14">
        <f t="shared" ca="1" si="27"/>
        <v>0</v>
      </c>
      <c r="S282" s="14">
        <f>IF(O282&gt;$D$2,0,IF($G$2=Choices!$B$1,-PMT(Q282/12,$D$2-(O282-1),P282),0))</f>
        <v>0</v>
      </c>
      <c r="T282" s="14">
        <f ca="1">IF(AND($G$2=Choices!$B$2,O282=$D$2),P282,IF(AND($G$2=Choices!$B$2,O282&lt;$D$2),0,S282-R282))</f>
        <v>0</v>
      </c>
      <c r="U282" s="14">
        <f t="shared" ca="1" si="28"/>
        <v>0</v>
      </c>
      <c r="V282" s="14">
        <f t="shared" ca="1" si="29"/>
        <v>0</v>
      </c>
    </row>
    <row r="283" spans="1:22" x14ac:dyDescent="0.2">
      <c r="A283" s="5">
        <f t="shared" si="24"/>
        <v>276</v>
      </c>
      <c r="B283" s="23"/>
      <c r="C283" s="14">
        <v>0</v>
      </c>
      <c r="D283" s="14">
        <v>0</v>
      </c>
      <c r="E283" s="14">
        <v>0</v>
      </c>
      <c r="F283" s="14">
        <v>0</v>
      </c>
      <c r="G283" s="14">
        <v>0</v>
      </c>
      <c r="H283" s="23"/>
      <c r="I283" s="14">
        <v>0</v>
      </c>
      <c r="J283" s="14">
        <v>0</v>
      </c>
      <c r="K283" s="14">
        <v>0</v>
      </c>
      <c r="L283" s="14">
        <v>0</v>
      </c>
      <c r="M283" s="14">
        <v>0</v>
      </c>
      <c r="N283" s="23"/>
      <c r="O283" s="5">
        <f t="shared" si="25"/>
        <v>276</v>
      </c>
      <c r="P283" s="15">
        <f t="shared" ca="1" si="26"/>
        <v>0</v>
      </c>
      <c r="Q283" s="5">
        <f ca="1">IF(O283&gt;$D$2,0,IF($F$2=Choices!$A$2,IF(O283&gt;$E$2,OFFSET(LiborCurve!$A$1,O283,0)+$C$2,$B$2),$B$2))</f>
        <v>0</v>
      </c>
      <c r="R283" s="14">
        <f t="shared" ca="1" si="27"/>
        <v>0</v>
      </c>
      <c r="S283" s="14">
        <f>IF(O283&gt;$D$2,0,IF($G$2=Choices!$B$1,-PMT(Q283/12,$D$2-(O283-1),P283),0))</f>
        <v>0</v>
      </c>
      <c r="T283" s="14">
        <f ca="1">IF(AND($G$2=Choices!$B$2,O283=$D$2),P283,IF(AND($G$2=Choices!$B$2,O283&lt;$D$2),0,S283-R283))</f>
        <v>0</v>
      </c>
      <c r="U283" s="14">
        <f t="shared" ca="1" si="28"/>
        <v>0</v>
      </c>
      <c r="V283" s="14">
        <f t="shared" ca="1" si="29"/>
        <v>0</v>
      </c>
    </row>
    <row r="284" spans="1:22" x14ac:dyDescent="0.2">
      <c r="A284" s="5">
        <f t="shared" si="24"/>
        <v>277</v>
      </c>
      <c r="B284" s="23"/>
      <c r="C284" s="14">
        <v>0</v>
      </c>
      <c r="D284" s="14">
        <v>0</v>
      </c>
      <c r="E284" s="14">
        <v>0</v>
      </c>
      <c r="F284" s="14">
        <v>0</v>
      </c>
      <c r="G284" s="14">
        <v>0</v>
      </c>
      <c r="H284" s="23"/>
      <c r="I284" s="14">
        <v>0</v>
      </c>
      <c r="J284" s="14">
        <v>0</v>
      </c>
      <c r="K284" s="14">
        <v>0</v>
      </c>
      <c r="L284" s="14">
        <v>0</v>
      </c>
      <c r="M284" s="14">
        <v>0</v>
      </c>
      <c r="N284" s="23"/>
      <c r="O284" s="5">
        <f t="shared" si="25"/>
        <v>277</v>
      </c>
      <c r="P284" s="15">
        <f t="shared" ca="1" si="26"/>
        <v>0</v>
      </c>
      <c r="Q284" s="5">
        <f ca="1">IF(O284&gt;$D$2,0,IF($F$2=Choices!$A$2,IF(O284&gt;$E$2,OFFSET(LiborCurve!$A$1,O284,0)+$C$2,$B$2),$B$2))</f>
        <v>0</v>
      </c>
      <c r="R284" s="14">
        <f t="shared" ca="1" si="27"/>
        <v>0</v>
      </c>
      <c r="S284" s="14">
        <f>IF(O284&gt;$D$2,0,IF($G$2=Choices!$B$1,-PMT(Q284/12,$D$2-(O284-1),P284),0))</f>
        <v>0</v>
      </c>
      <c r="T284" s="14">
        <f ca="1">IF(AND($G$2=Choices!$B$2,O284=$D$2),P284,IF(AND($G$2=Choices!$B$2,O284&lt;$D$2),0,S284-R284))</f>
        <v>0</v>
      </c>
      <c r="U284" s="14">
        <f t="shared" ca="1" si="28"/>
        <v>0</v>
      </c>
      <c r="V284" s="14">
        <f t="shared" ca="1" si="29"/>
        <v>0</v>
      </c>
    </row>
    <row r="285" spans="1:22" x14ac:dyDescent="0.2">
      <c r="A285" s="5">
        <f t="shared" si="24"/>
        <v>278</v>
      </c>
      <c r="B285" s="23"/>
      <c r="C285" s="14">
        <v>0</v>
      </c>
      <c r="D285" s="14">
        <v>0</v>
      </c>
      <c r="E285" s="14">
        <v>0</v>
      </c>
      <c r="F285" s="14">
        <v>0</v>
      </c>
      <c r="G285" s="14">
        <v>0</v>
      </c>
      <c r="H285" s="23"/>
      <c r="I285" s="14">
        <v>0</v>
      </c>
      <c r="J285" s="14">
        <v>0</v>
      </c>
      <c r="K285" s="14">
        <v>0</v>
      </c>
      <c r="L285" s="14">
        <v>0</v>
      </c>
      <c r="M285" s="14">
        <v>0</v>
      </c>
      <c r="N285" s="23"/>
      <c r="O285" s="5">
        <f t="shared" si="25"/>
        <v>278</v>
      </c>
      <c r="P285" s="15">
        <f t="shared" ca="1" si="26"/>
        <v>0</v>
      </c>
      <c r="Q285" s="5">
        <f ca="1">IF(O285&gt;$D$2,0,IF($F$2=Choices!$A$2,IF(O285&gt;$E$2,OFFSET(LiborCurve!$A$1,O285,0)+$C$2,$B$2),$B$2))</f>
        <v>0</v>
      </c>
      <c r="R285" s="14">
        <f t="shared" ca="1" si="27"/>
        <v>0</v>
      </c>
      <c r="S285" s="14">
        <f>IF(O285&gt;$D$2,0,IF($G$2=Choices!$B$1,-PMT(Q285/12,$D$2-(O285-1),P285),0))</f>
        <v>0</v>
      </c>
      <c r="T285" s="14">
        <f ca="1">IF(AND($G$2=Choices!$B$2,O285=$D$2),P285,IF(AND($G$2=Choices!$B$2,O285&lt;$D$2),0,S285-R285))</f>
        <v>0</v>
      </c>
      <c r="U285" s="14">
        <f t="shared" ca="1" si="28"/>
        <v>0</v>
      </c>
      <c r="V285" s="14">
        <f t="shared" ca="1" si="29"/>
        <v>0</v>
      </c>
    </row>
    <row r="286" spans="1:22" x14ac:dyDescent="0.2">
      <c r="A286" s="5">
        <f t="shared" si="24"/>
        <v>279</v>
      </c>
      <c r="B286" s="23"/>
      <c r="C286" s="14">
        <v>0</v>
      </c>
      <c r="D286" s="14">
        <v>0</v>
      </c>
      <c r="E286" s="14">
        <v>0</v>
      </c>
      <c r="F286" s="14">
        <v>0</v>
      </c>
      <c r="G286" s="14">
        <v>0</v>
      </c>
      <c r="H286" s="23"/>
      <c r="I286" s="14">
        <v>0</v>
      </c>
      <c r="J286" s="14">
        <v>0</v>
      </c>
      <c r="K286" s="14">
        <v>0</v>
      </c>
      <c r="L286" s="14">
        <v>0</v>
      </c>
      <c r="M286" s="14">
        <v>0</v>
      </c>
      <c r="N286" s="23"/>
      <c r="O286" s="5">
        <f t="shared" si="25"/>
        <v>279</v>
      </c>
      <c r="P286" s="15">
        <f t="shared" ca="1" si="26"/>
        <v>0</v>
      </c>
      <c r="Q286" s="5">
        <f ca="1">IF(O286&gt;$D$2,0,IF($F$2=Choices!$A$2,IF(O286&gt;$E$2,OFFSET(LiborCurve!$A$1,O286,0)+$C$2,$B$2),$B$2))</f>
        <v>0</v>
      </c>
      <c r="R286" s="14">
        <f t="shared" ca="1" si="27"/>
        <v>0</v>
      </c>
      <c r="S286" s="14">
        <f>IF(O286&gt;$D$2,0,IF($G$2=Choices!$B$1,-PMT(Q286/12,$D$2-(O286-1),P286),0))</f>
        <v>0</v>
      </c>
      <c r="T286" s="14">
        <f ca="1">IF(AND($G$2=Choices!$B$2,O286=$D$2),P286,IF(AND($G$2=Choices!$B$2,O286&lt;$D$2),0,S286-R286))</f>
        <v>0</v>
      </c>
      <c r="U286" s="14">
        <f t="shared" ca="1" si="28"/>
        <v>0</v>
      </c>
      <c r="V286" s="14">
        <f t="shared" ca="1" si="29"/>
        <v>0</v>
      </c>
    </row>
    <row r="287" spans="1:22" x14ac:dyDescent="0.2">
      <c r="A287" s="5">
        <f t="shared" si="24"/>
        <v>280</v>
      </c>
      <c r="B287" s="23"/>
      <c r="C287" s="14">
        <v>0</v>
      </c>
      <c r="D287" s="14">
        <v>0</v>
      </c>
      <c r="E287" s="14">
        <v>0</v>
      </c>
      <c r="F287" s="14">
        <v>0</v>
      </c>
      <c r="G287" s="14">
        <v>0</v>
      </c>
      <c r="H287" s="23"/>
      <c r="I287" s="14">
        <v>0</v>
      </c>
      <c r="J287" s="14">
        <v>0</v>
      </c>
      <c r="K287" s="14">
        <v>0</v>
      </c>
      <c r="L287" s="14">
        <v>0</v>
      </c>
      <c r="M287" s="14">
        <v>0</v>
      </c>
      <c r="N287" s="23"/>
      <c r="O287" s="5">
        <f t="shared" si="25"/>
        <v>280</v>
      </c>
      <c r="P287" s="15">
        <f t="shared" ca="1" si="26"/>
        <v>0</v>
      </c>
      <c r="Q287" s="5">
        <f ca="1">IF(O287&gt;$D$2,0,IF($F$2=Choices!$A$2,IF(O287&gt;$E$2,OFFSET(LiborCurve!$A$1,O287,0)+$C$2,$B$2),$B$2))</f>
        <v>0</v>
      </c>
      <c r="R287" s="14">
        <f t="shared" ca="1" si="27"/>
        <v>0</v>
      </c>
      <c r="S287" s="14">
        <f>IF(O287&gt;$D$2,0,IF($G$2=Choices!$B$1,-PMT(Q287/12,$D$2-(O287-1),P287),0))</f>
        <v>0</v>
      </c>
      <c r="T287" s="14">
        <f ca="1">IF(AND($G$2=Choices!$B$2,O287=$D$2),P287,IF(AND($G$2=Choices!$B$2,O287&lt;$D$2),0,S287-R287))</f>
        <v>0</v>
      </c>
      <c r="U287" s="14">
        <f t="shared" ca="1" si="28"/>
        <v>0</v>
      </c>
      <c r="V287" s="14">
        <f t="shared" ca="1" si="29"/>
        <v>0</v>
      </c>
    </row>
    <row r="288" spans="1:22" x14ac:dyDescent="0.2">
      <c r="A288" s="5">
        <f t="shared" si="24"/>
        <v>281</v>
      </c>
      <c r="B288" s="23"/>
      <c r="C288" s="14">
        <v>0</v>
      </c>
      <c r="D288" s="14">
        <v>0</v>
      </c>
      <c r="E288" s="14">
        <v>0</v>
      </c>
      <c r="F288" s="14">
        <v>0</v>
      </c>
      <c r="G288" s="14">
        <v>0</v>
      </c>
      <c r="H288" s="23"/>
      <c r="I288" s="14">
        <v>0</v>
      </c>
      <c r="J288" s="14">
        <v>0</v>
      </c>
      <c r="K288" s="14">
        <v>0</v>
      </c>
      <c r="L288" s="14">
        <v>0</v>
      </c>
      <c r="M288" s="14">
        <v>0</v>
      </c>
      <c r="N288" s="23"/>
      <c r="O288" s="5">
        <f t="shared" si="25"/>
        <v>281</v>
      </c>
      <c r="P288" s="15">
        <f t="shared" ca="1" si="26"/>
        <v>0</v>
      </c>
      <c r="Q288" s="5">
        <f ca="1">IF(O288&gt;$D$2,0,IF($F$2=Choices!$A$2,IF(O288&gt;$E$2,OFFSET(LiborCurve!$A$1,O288,0)+$C$2,$B$2),$B$2))</f>
        <v>0</v>
      </c>
      <c r="R288" s="14">
        <f t="shared" ca="1" si="27"/>
        <v>0</v>
      </c>
      <c r="S288" s="14">
        <f>IF(O288&gt;$D$2,0,IF($G$2=Choices!$B$1,-PMT(Q288/12,$D$2-(O288-1),P288),0))</f>
        <v>0</v>
      </c>
      <c r="T288" s="14">
        <f ca="1">IF(AND($G$2=Choices!$B$2,O288=$D$2),P288,IF(AND($G$2=Choices!$B$2,O288&lt;$D$2),0,S288-R288))</f>
        <v>0</v>
      </c>
      <c r="U288" s="14">
        <f t="shared" ca="1" si="28"/>
        <v>0</v>
      </c>
      <c r="V288" s="14">
        <f t="shared" ca="1" si="29"/>
        <v>0</v>
      </c>
    </row>
    <row r="289" spans="1:22" x14ac:dyDescent="0.2">
      <c r="A289" s="5">
        <f t="shared" si="24"/>
        <v>282</v>
      </c>
      <c r="B289" s="23"/>
      <c r="C289" s="14">
        <v>0</v>
      </c>
      <c r="D289" s="14">
        <v>0</v>
      </c>
      <c r="E289" s="14">
        <v>0</v>
      </c>
      <c r="F289" s="14">
        <v>0</v>
      </c>
      <c r="G289" s="14">
        <v>0</v>
      </c>
      <c r="H289" s="23"/>
      <c r="I289" s="14">
        <v>0</v>
      </c>
      <c r="J289" s="14">
        <v>0</v>
      </c>
      <c r="K289" s="14">
        <v>0</v>
      </c>
      <c r="L289" s="14">
        <v>0</v>
      </c>
      <c r="M289" s="14">
        <v>0</v>
      </c>
      <c r="N289" s="23"/>
      <c r="O289" s="5">
        <f t="shared" si="25"/>
        <v>282</v>
      </c>
      <c r="P289" s="15">
        <f t="shared" ca="1" si="26"/>
        <v>0</v>
      </c>
      <c r="Q289" s="5">
        <f ca="1">IF(O289&gt;$D$2,0,IF($F$2=Choices!$A$2,IF(O289&gt;$E$2,OFFSET(LiborCurve!$A$1,O289,0)+$C$2,$B$2),$B$2))</f>
        <v>0</v>
      </c>
      <c r="R289" s="14">
        <f t="shared" ca="1" si="27"/>
        <v>0</v>
      </c>
      <c r="S289" s="14">
        <f>IF(O289&gt;$D$2,0,IF($G$2=Choices!$B$1,-PMT(Q289/12,$D$2-(O289-1),P289),0))</f>
        <v>0</v>
      </c>
      <c r="T289" s="14">
        <f ca="1">IF(AND($G$2=Choices!$B$2,O289=$D$2),P289,IF(AND($G$2=Choices!$B$2,O289&lt;$D$2),0,S289-R289))</f>
        <v>0</v>
      </c>
      <c r="U289" s="14">
        <f t="shared" ca="1" si="28"/>
        <v>0</v>
      </c>
      <c r="V289" s="14">
        <f t="shared" ca="1" si="29"/>
        <v>0</v>
      </c>
    </row>
    <row r="290" spans="1:22" x14ac:dyDescent="0.2">
      <c r="A290" s="5">
        <f t="shared" si="24"/>
        <v>283</v>
      </c>
      <c r="B290" s="23"/>
      <c r="C290" s="14">
        <v>0</v>
      </c>
      <c r="D290" s="14">
        <v>0</v>
      </c>
      <c r="E290" s="14">
        <v>0</v>
      </c>
      <c r="F290" s="14">
        <v>0</v>
      </c>
      <c r="G290" s="14">
        <v>0</v>
      </c>
      <c r="H290" s="23"/>
      <c r="I290" s="14">
        <v>0</v>
      </c>
      <c r="J290" s="14">
        <v>0</v>
      </c>
      <c r="K290" s="14">
        <v>0</v>
      </c>
      <c r="L290" s="14">
        <v>0</v>
      </c>
      <c r="M290" s="14">
        <v>0</v>
      </c>
      <c r="N290" s="23"/>
      <c r="O290" s="5">
        <f t="shared" si="25"/>
        <v>283</v>
      </c>
      <c r="P290" s="15">
        <f t="shared" ca="1" si="26"/>
        <v>0</v>
      </c>
      <c r="Q290" s="5">
        <f ca="1">IF(O290&gt;$D$2,0,IF($F$2=Choices!$A$2,IF(O290&gt;$E$2,OFFSET(LiborCurve!$A$1,O290,0)+$C$2,$B$2),$B$2))</f>
        <v>0</v>
      </c>
      <c r="R290" s="14">
        <f t="shared" ca="1" si="27"/>
        <v>0</v>
      </c>
      <c r="S290" s="14">
        <f>IF(O290&gt;$D$2,0,IF($G$2=Choices!$B$1,-PMT(Q290/12,$D$2-(O290-1),P290),0))</f>
        <v>0</v>
      </c>
      <c r="T290" s="14">
        <f ca="1">IF(AND($G$2=Choices!$B$2,O290=$D$2),P290,IF(AND($G$2=Choices!$B$2,O290&lt;$D$2),0,S290-R290))</f>
        <v>0</v>
      </c>
      <c r="U290" s="14">
        <f t="shared" ca="1" si="28"/>
        <v>0</v>
      </c>
      <c r="V290" s="14">
        <f t="shared" ca="1" si="29"/>
        <v>0</v>
      </c>
    </row>
    <row r="291" spans="1:22" x14ac:dyDescent="0.2">
      <c r="A291" s="5">
        <f t="shared" si="24"/>
        <v>284</v>
      </c>
      <c r="B291" s="23"/>
      <c r="C291" s="14">
        <v>0</v>
      </c>
      <c r="D291" s="14">
        <v>0</v>
      </c>
      <c r="E291" s="14">
        <v>0</v>
      </c>
      <c r="F291" s="14">
        <v>0</v>
      </c>
      <c r="G291" s="14">
        <v>0</v>
      </c>
      <c r="H291" s="23"/>
      <c r="I291" s="14">
        <v>0</v>
      </c>
      <c r="J291" s="14">
        <v>0</v>
      </c>
      <c r="K291" s="14">
        <v>0</v>
      </c>
      <c r="L291" s="14">
        <v>0</v>
      </c>
      <c r="M291" s="14">
        <v>0</v>
      </c>
      <c r="N291" s="23"/>
      <c r="O291" s="5">
        <f t="shared" si="25"/>
        <v>284</v>
      </c>
      <c r="P291" s="15">
        <f t="shared" ca="1" si="26"/>
        <v>0</v>
      </c>
      <c r="Q291" s="5">
        <f ca="1">IF(O291&gt;$D$2,0,IF($F$2=Choices!$A$2,IF(O291&gt;$E$2,OFFSET(LiborCurve!$A$1,O291,0)+$C$2,$B$2),$B$2))</f>
        <v>0</v>
      </c>
      <c r="R291" s="14">
        <f t="shared" ca="1" si="27"/>
        <v>0</v>
      </c>
      <c r="S291" s="14">
        <f>IF(O291&gt;$D$2,0,IF($G$2=Choices!$B$1,-PMT(Q291/12,$D$2-(O291-1),P291),0))</f>
        <v>0</v>
      </c>
      <c r="T291" s="14">
        <f ca="1">IF(AND($G$2=Choices!$B$2,O291=$D$2),P291,IF(AND($G$2=Choices!$B$2,O291&lt;$D$2),0,S291-R291))</f>
        <v>0</v>
      </c>
      <c r="U291" s="14">
        <f t="shared" ca="1" si="28"/>
        <v>0</v>
      </c>
      <c r="V291" s="14">
        <f t="shared" ca="1" si="29"/>
        <v>0</v>
      </c>
    </row>
    <row r="292" spans="1:22" x14ac:dyDescent="0.2">
      <c r="A292" s="5">
        <f t="shared" si="24"/>
        <v>285</v>
      </c>
      <c r="B292" s="23"/>
      <c r="C292" s="14">
        <v>0</v>
      </c>
      <c r="D292" s="14">
        <v>0</v>
      </c>
      <c r="E292" s="14">
        <v>0</v>
      </c>
      <c r="F292" s="14">
        <v>0</v>
      </c>
      <c r="G292" s="14">
        <v>0</v>
      </c>
      <c r="H292" s="23"/>
      <c r="I292" s="14">
        <v>0</v>
      </c>
      <c r="J292" s="14">
        <v>0</v>
      </c>
      <c r="K292" s="14">
        <v>0</v>
      </c>
      <c r="L292" s="14">
        <v>0</v>
      </c>
      <c r="M292" s="14">
        <v>0</v>
      </c>
      <c r="N292" s="23"/>
      <c r="O292" s="5">
        <f t="shared" si="25"/>
        <v>285</v>
      </c>
      <c r="P292" s="15">
        <f t="shared" ca="1" si="26"/>
        <v>0</v>
      </c>
      <c r="Q292" s="5">
        <f ca="1">IF(O292&gt;$D$2,0,IF($F$2=Choices!$A$2,IF(O292&gt;$E$2,OFFSET(LiborCurve!$A$1,O292,0)+$C$2,$B$2),$B$2))</f>
        <v>0</v>
      </c>
      <c r="R292" s="14">
        <f t="shared" ca="1" si="27"/>
        <v>0</v>
      </c>
      <c r="S292" s="14">
        <f>IF(O292&gt;$D$2,0,IF($G$2=Choices!$B$1,-PMT(Q292/12,$D$2-(O292-1),P292),0))</f>
        <v>0</v>
      </c>
      <c r="T292" s="14">
        <f ca="1">IF(AND($G$2=Choices!$B$2,O292=$D$2),P292,IF(AND($G$2=Choices!$B$2,O292&lt;$D$2),0,S292-R292))</f>
        <v>0</v>
      </c>
      <c r="U292" s="14">
        <f t="shared" ca="1" si="28"/>
        <v>0</v>
      </c>
      <c r="V292" s="14">
        <f t="shared" ca="1" si="29"/>
        <v>0</v>
      </c>
    </row>
    <row r="293" spans="1:22" x14ac:dyDescent="0.2">
      <c r="A293" s="5">
        <f t="shared" si="24"/>
        <v>286</v>
      </c>
      <c r="B293" s="23"/>
      <c r="C293" s="14">
        <v>0</v>
      </c>
      <c r="D293" s="14">
        <v>0</v>
      </c>
      <c r="E293" s="14">
        <v>0</v>
      </c>
      <c r="F293" s="14">
        <v>0</v>
      </c>
      <c r="G293" s="14">
        <v>0</v>
      </c>
      <c r="H293" s="23"/>
      <c r="I293" s="14">
        <v>0</v>
      </c>
      <c r="J293" s="14">
        <v>0</v>
      </c>
      <c r="K293" s="14">
        <v>0</v>
      </c>
      <c r="L293" s="14">
        <v>0</v>
      </c>
      <c r="M293" s="14">
        <v>0</v>
      </c>
      <c r="N293" s="23"/>
      <c r="O293" s="5">
        <f t="shared" si="25"/>
        <v>286</v>
      </c>
      <c r="P293" s="15">
        <f t="shared" ca="1" si="26"/>
        <v>0</v>
      </c>
      <c r="Q293" s="5">
        <f ca="1">IF(O293&gt;$D$2,0,IF($F$2=Choices!$A$2,IF(O293&gt;$E$2,OFFSET(LiborCurve!$A$1,O293,0)+$C$2,$B$2),$B$2))</f>
        <v>0</v>
      </c>
      <c r="R293" s="14">
        <f t="shared" ca="1" si="27"/>
        <v>0</v>
      </c>
      <c r="S293" s="14">
        <f>IF(O293&gt;$D$2,0,IF($G$2=Choices!$B$1,-PMT(Q293/12,$D$2-(O293-1),P293),0))</f>
        <v>0</v>
      </c>
      <c r="T293" s="14">
        <f ca="1">IF(AND($G$2=Choices!$B$2,O293=$D$2),P293,IF(AND($G$2=Choices!$B$2,O293&lt;$D$2),0,S293-R293))</f>
        <v>0</v>
      </c>
      <c r="U293" s="14">
        <f t="shared" ca="1" si="28"/>
        <v>0</v>
      </c>
      <c r="V293" s="14">
        <f t="shared" ca="1" si="29"/>
        <v>0</v>
      </c>
    </row>
    <row r="294" spans="1:22" x14ac:dyDescent="0.2">
      <c r="A294" s="5">
        <f t="shared" si="24"/>
        <v>287</v>
      </c>
      <c r="B294" s="23"/>
      <c r="C294" s="14">
        <v>0</v>
      </c>
      <c r="D294" s="14">
        <v>0</v>
      </c>
      <c r="E294" s="14">
        <v>0</v>
      </c>
      <c r="F294" s="14">
        <v>0</v>
      </c>
      <c r="G294" s="14">
        <v>0</v>
      </c>
      <c r="H294" s="23"/>
      <c r="I294" s="14">
        <v>0</v>
      </c>
      <c r="J294" s="14">
        <v>0</v>
      </c>
      <c r="K294" s="14">
        <v>0</v>
      </c>
      <c r="L294" s="14">
        <v>0</v>
      </c>
      <c r="M294" s="14">
        <v>0</v>
      </c>
      <c r="N294" s="23"/>
      <c r="O294" s="5">
        <f t="shared" si="25"/>
        <v>287</v>
      </c>
      <c r="P294" s="15">
        <f t="shared" ca="1" si="26"/>
        <v>0</v>
      </c>
      <c r="Q294" s="5">
        <f ca="1">IF(O294&gt;$D$2,0,IF($F$2=Choices!$A$2,IF(O294&gt;$E$2,OFFSET(LiborCurve!$A$1,O294,0)+$C$2,$B$2),$B$2))</f>
        <v>0</v>
      </c>
      <c r="R294" s="14">
        <f t="shared" ca="1" si="27"/>
        <v>0</v>
      </c>
      <c r="S294" s="14">
        <f>IF(O294&gt;$D$2,0,IF($G$2=Choices!$B$1,-PMT(Q294/12,$D$2-(O294-1),P294),0))</f>
        <v>0</v>
      </c>
      <c r="T294" s="14">
        <f ca="1">IF(AND($G$2=Choices!$B$2,O294=$D$2),P294,IF(AND($G$2=Choices!$B$2,O294&lt;$D$2),0,S294-R294))</f>
        <v>0</v>
      </c>
      <c r="U294" s="14">
        <f t="shared" ca="1" si="28"/>
        <v>0</v>
      </c>
      <c r="V294" s="14">
        <f t="shared" ca="1" si="29"/>
        <v>0</v>
      </c>
    </row>
    <row r="295" spans="1:22" x14ac:dyDescent="0.2">
      <c r="A295" s="5">
        <f t="shared" si="24"/>
        <v>288</v>
      </c>
      <c r="B295" s="23"/>
      <c r="C295" s="14">
        <v>0</v>
      </c>
      <c r="D295" s="14">
        <v>0</v>
      </c>
      <c r="E295" s="14">
        <v>0</v>
      </c>
      <c r="F295" s="14">
        <v>0</v>
      </c>
      <c r="G295" s="14">
        <v>0</v>
      </c>
      <c r="H295" s="23"/>
      <c r="I295" s="14">
        <v>0</v>
      </c>
      <c r="J295" s="14">
        <v>0</v>
      </c>
      <c r="K295" s="14">
        <v>0</v>
      </c>
      <c r="L295" s="14">
        <v>0</v>
      </c>
      <c r="M295" s="14">
        <v>0</v>
      </c>
      <c r="N295" s="23"/>
      <c r="O295" s="5">
        <f t="shared" si="25"/>
        <v>288</v>
      </c>
      <c r="P295" s="15">
        <f t="shared" ca="1" si="26"/>
        <v>0</v>
      </c>
      <c r="Q295" s="5">
        <f ca="1">IF(O295&gt;$D$2,0,IF($F$2=Choices!$A$2,IF(O295&gt;$E$2,OFFSET(LiborCurve!$A$1,O295,0)+$C$2,$B$2),$B$2))</f>
        <v>0</v>
      </c>
      <c r="R295" s="14">
        <f t="shared" ca="1" si="27"/>
        <v>0</v>
      </c>
      <c r="S295" s="14">
        <f>IF(O295&gt;$D$2,0,IF($G$2=Choices!$B$1,-PMT(Q295/12,$D$2-(O295-1),P295),0))</f>
        <v>0</v>
      </c>
      <c r="T295" s="14">
        <f ca="1">IF(AND($G$2=Choices!$B$2,O295=$D$2),P295,IF(AND($G$2=Choices!$B$2,O295&lt;$D$2),0,S295-R295))</f>
        <v>0</v>
      </c>
      <c r="U295" s="14">
        <f t="shared" ca="1" si="28"/>
        <v>0</v>
      </c>
      <c r="V295" s="14">
        <f t="shared" ca="1" si="29"/>
        <v>0</v>
      </c>
    </row>
    <row r="296" spans="1:22" x14ac:dyDescent="0.2">
      <c r="A296" s="5">
        <f t="shared" si="24"/>
        <v>289</v>
      </c>
      <c r="B296" s="23"/>
      <c r="C296" s="14">
        <v>0</v>
      </c>
      <c r="D296" s="14">
        <v>0</v>
      </c>
      <c r="E296" s="14">
        <v>0</v>
      </c>
      <c r="F296" s="14">
        <v>0</v>
      </c>
      <c r="G296" s="14">
        <v>0</v>
      </c>
      <c r="H296" s="23"/>
      <c r="I296" s="14">
        <v>0</v>
      </c>
      <c r="J296" s="14">
        <v>0</v>
      </c>
      <c r="K296" s="14">
        <v>0</v>
      </c>
      <c r="L296" s="14">
        <v>0</v>
      </c>
      <c r="M296" s="14">
        <v>0</v>
      </c>
      <c r="N296" s="23"/>
      <c r="O296" s="5">
        <f t="shared" si="25"/>
        <v>289</v>
      </c>
      <c r="P296" s="15">
        <f t="shared" ca="1" si="26"/>
        <v>0</v>
      </c>
      <c r="Q296" s="5">
        <f ca="1">IF(O296&gt;$D$2,0,IF($F$2=Choices!$A$2,IF(O296&gt;$E$2,OFFSET(LiborCurve!$A$1,O296,0)+$C$2,$B$2),$B$2))</f>
        <v>0</v>
      </c>
      <c r="R296" s="14">
        <f t="shared" ca="1" si="27"/>
        <v>0</v>
      </c>
      <c r="S296" s="14">
        <f>IF(O296&gt;$D$2,0,IF($G$2=Choices!$B$1,-PMT(Q296/12,$D$2-(O296-1),P296),0))</f>
        <v>0</v>
      </c>
      <c r="T296" s="14">
        <f ca="1">IF(AND($G$2=Choices!$B$2,O296=$D$2),P296,IF(AND($G$2=Choices!$B$2,O296&lt;$D$2),0,S296-R296))</f>
        <v>0</v>
      </c>
      <c r="U296" s="14">
        <f t="shared" ca="1" si="28"/>
        <v>0</v>
      </c>
      <c r="V296" s="14">
        <f t="shared" ca="1" si="29"/>
        <v>0</v>
      </c>
    </row>
    <row r="297" spans="1:22" x14ac:dyDescent="0.2">
      <c r="A297" s="5">
        <f t="shared" si="24"/>
        <v>290</v>
      </c>
      <c r="B297" s="23"/>
      <c r="C297" s="14">
        <v>0</v>
      </c>
      <c r="D297" s="14">
        <v>0</v>
      </c>
      <c r="E297" s="14">
        <v>0</v>
      </c>
      <c r="F297" s="14">
        <v>0</v>
      </c>
      <c r="G297" s="14">
        <v>0</v>
      </c>
      <c r="H297" s="23"/>
      <c r="I297" s="14">
        <v>0</v>
      </c>
      <c r="J297" s="14">
        <v>0</v>
      </c>
      <c r="K297" s="14">
        <v>0</v>
      </c>
      <c r="L297" s="14">
        <v>0</v>
      </c>
      <c r="M297" s="14">
        <v>0</v>
      </c>
      <c r="N297" s="23"/>
      <c r="O297" s="5">
        <f t="shared" si="25"/>
        <v>290</v>
      </c>
      <c r="P297" s="15">
        <f t="shared" ca="1" si="26"/>
        <v>0</v>
      </c>
      <c r="Q297" s="5">
        <f ca="1">IF(O297&gt;$D$2,0,IF($F$2=Choices!$A$2,IF(O297&gt;$E$2,OFFSET(LiborCurve!$A$1,O297,0)+$C$2,$B$2),$B$2))</f>
        <v>0</v>
      </c>
      <c r="R297" s="14">
        <f t="shared" ca="1" si="27"/>
        <v>0</v>
      </c>
      <c r="S297" s="14">
        <f>IF(O297&gt;$D$2,0,IF($G$2=Choices!$B$1,-PMT(Q297/12,$D$2-(O297-1),P297),0))</f>
        <v>0</v>
      </c>
      <c r="T297" s="14">
        <f ca="1">IF(AND($G$2=Choices!$B$2,O297=$D$2),P297,IF(AND($G$2=Choices!$B$2,O297&lt;$D$2),0,S297-R297))</f>
        <v>0</v>
      </c>
      <c r="U297" s="14">
        <f t="shared" ca="1" si="28"/>
        <v>0</v>
      </c>
      <c r="V297" s="14">
        <f t="shared" ca="1" si="29"/>
        <v>0</v>
      </c>
    </row>
    <row r="298" spans="1:22" x14ac:dyDescent="0.2">
      <c r="A298" s="5">
        <f t="shared" si="24"/>
        <v>291</v>
      </c>
      <c r="B298" s="23"/>
      <c r="C298" s="14">
        <v>0</v>
      </c>
      <c r="D298" s="14">
        <v>0</v>
      </c>
      <c r="E298" s="14">
        <v>0</v>
      </c>
      <c r="F298" s="14">
        <v>0</v>
      </c>
      <c r="G298" s="14">
        <v>0</v>
      </c>
      <c r="H298" s="23"/>
      <c r="I298" s="14">
        <v>0</v>
      </c>
      <c r="J298" s="14">
        <v>0</v>
      </c>
      <c r="K298" s="14">
        <v>0</v>
      </c>
      <c r="L298" s="14">
        <v>0</v>
      </c>
      <c r="M298" s="14">
        <v>0</v>
      </c>
      <c r="N298" s="23"/>
      <c r="O298" s="5">
        <f t="shared" si="25"/>
        <v>291</v>
      </c>
      <c r="P298" s="15">
        <f t="shared" ca="1" si="26"/>
        <v>0</v>
      </c>
      <c r="Q298" s="5">
        <f ca="1">IF(O298&gt;$D$2,0,IF($F$2=Choices!$A$2,IF(O298&gt;$E$2,OFFSET(LiborCurve!$A$1,O298,0)+$C$2,$B$2),$B$2))</f>
        <v>0</v>
      </c>
      <c r="R298" s="14">
        <f t="shared" ca="1" si="27"/>
        <v>0</v>
      </c>
      <c r="S298" s="14">
        <f>IF(O298&gt;$D$2,0,IF($G$2=Choices!$B$1,-PMT(Q298/12,$D$2-(O298-1),P298),0))</f>
        <v>0</v>
      </c>
      <c r="T298" s="14">
        <f ca="1">IF(AND($G$2=Choices!$B$2,O298=$D$2),P298,IF(AND($G$2=Choices!$B$2,O298&lt;$D$2),0,S298-R298))</f>
        <v>0</v>
      </c>
      <c r="U298" s="14">
        <f t="shared" ca="1" si="28"/>
        <v>0</v>
      </c>
      <c r="V298" s="14">
        <f t="shared" ca="1" si="29"/>
        <v>0</v>
      </c>
    </row>
    <row r="299" spans="1:22" x14ac:dyDescent="0.2">
      <c r="A299" s="5">
        <f t="shared" si="24"/>
        <v>292</v>
      </c>
      <c r="B299" s="23"/>
      <c r="C299" s="14">
        <v>0</v>
      </c>
      <c r="D299" s="14">
        <v>0</v>
      </c>
      <c r="E299" s="14">
        <v>0</v>
      </c>
      <c r="F299" s="14">
        <v>0</v>
      </c>
      <c r="G299" s="14">
        <v>0</v>
      </c>
      <c r="H299" s="23"/>
      <c r="I299" s="14">
        <v>0</v>
      </c>
      <c r="J299" s="14">
        <v>0</v>
      </c>
      <c r="K299" s="14">
        <v>0</v>
      </c>
      <c r="L299" s="14">
        <v>0</v>
      </c>
      <c r="M299" s="14">
        <v>0</v>
      </c>
      <c r="N299" s="23"/>
      <c r="O299" s="5">
        <f t="shared" si="25"/>
        <v>292</v>
      </c>
      <c r="P299" s="15">
        <f t="shared" ca="1" si="26"/>
        <v>0</v>
      </c>
      <c r="Q299" s="5">
        <f ca="1">IF(O299&gt;$D$2,0,IF($F$2=Choices!$A$2,IF(O299&gt;$E$2,OFFSET(LiborCurve!$A$1,O299,0)+$C$2,$B$2),$B$2))</f>
        <v>0</v>
      </c>
      <c r="R299" s="14">
        <f t="shared" ca="1" si="27"/>
        <v>0</v>
      </c>
      <c r="S299" s="14">
        <f>IF(O299&gt;$D$2,0,IF($G$2=Choices!$B$1,-PMT(Q299/12,$D$2-(O299-1),P299),0))</f>
        <v>0</v>
      </c>
      <c r="T299" s="14">
        <f ca="1">IF(AND($G$2=Choices!$B$2,O299=$D$2),P299,IF(AND($G$2=Choices!$B$2,O299&lt;$D$2),0,S299-R299))</f>
        <v>0</v>
      </c>
      <c r="U299" s="14">
        <f t="shared" ca="1" si="28"/>
        <v>0</v>
      </c>
      <c r="V299" s="14">
        <f t="shared" ca="1" si="29"/>
        <v>0</v>
      </c>
    </row>
    <row r="300" spans="1:22" x14ac:dyDescent="0.2">
      <c r="A300" s="5">
        <f t="shared" si="24"/>
        <v>293</v>
      </c>
      <c r="B300" s="23"/>
      <c r="C300" s="14">
        <v>0</v>
      </c>
      <c r="D300" s="14">
        <v>0</v>
      </c>
      <c r="E300" s="14">
        <v>0</v>
      </c>
      <c r="F300" s="14">
        <v>0</v>
      </c>
      <c r="G300" s="14">
        <v>0</v>
      </c>
      <c r="H300" s="23"/>
      <c r="I300" s="14">
        <v>0</v>
      </c>
      <c r="J300" s="14">
        <v>0</v>
      </c>
      <c r="K300" s="14">
        <v>0</v>
      </c>
      <c r="L300" s="14">
        <v>0</v>
      </c>
      <c r="M300" s="14">
        <v>0</v>
      </c>
      <c r="N300" s="23"/>
      <c r="O300" s="5">
        <f t="shared" si="25"/>
        <v>293</v>
      </c>
      <c r="P300" s="15">
        <f t="shared" ca="1" si="26"/>
        <v>0</v>
      </c>
      <c r="Q300" s="5">
        <f ca="1">IF(O300&gt;$D$2,0,IF($F$2=Choices!$A$2,IF(O300&gt;$E$2,OFFSET(LiborCurve!$A$1,O300,0)+$C$2,$B$2),$B$2))</f>
        <v>0</v>
      </c>
      <c r="R300" s="14">
        <f t="shared" ca="1" si="27"/>
        <v>0</v>
      </c>
      <c r="S300" s="14">
        <f>IF(O300&gt;$D$2,0,IF($G$2=Choices!$B$1,-PMT(Q300/12,$D$2-(O300-1),P300),0))</f>
        <v>0</v>
      </c>
      <c r="T300" s="14">
        <f ca="1">IF(AND($G$2=Choices!$B$2,O300=$D$2),P300,IF(AND($G$2=Choices!$B$2,O300&lt;$D$2),0,S300-R300))</f>
        <v>0</v>
      </c>
      <c r="U300" s="14">
        <f t="shared" ca="1" si="28"/>
        <v>0</v>
      </c>
      <c r="V300" s="14">
        <f t="shared" ca="1" si="29"/>
        <v>0</v>
      </c>
    </row>
    <row r="301" spans="1:22" x14ac:dyDescent="0.2">
      <c r="A301" s="5">
        <f t="shared" si="24"/>
        <v>294</v>
      </c>
      <c r="B301" s="23"/>
      <c r="C301" s="14">
        <v>0</v>
      </c>
      <c r="D301" s="14">
        <v>0</v>
      </c>
      <c r="E301" s="14">
        <v>0</v>
      </c>
      <c r="F301" s="14">
        <v>0</v>
      </c>
      <c r="G301" s="14">
        <v>0</v>
      </c>
      <c r="H301" s="23"/>
      <c r="I301" s="14">
        <v>0</v>
      </c>
      <c r="J301" s="14">
        <v>0</v>
      </c>
      <c r="K301" s="14">
        <v>0</v>
      </c>
      <c r="L301" s="14">
        <v>0</v>
      </c>
      <c r="M301" s="14">
        <v>0</v>
      </c>
      <c r="N301" s="23"/>
      <c r="O301" s="5">
        <f t="shared" si="25"/>
        <v>294</v>
      </c>
      <c r="P301" s="15">
        <f t="shared" ca="1" si="26"/>
        <v>0</v>
      </c>
      <c r="Q301" s="5">
        <f ca="1">IF(O301&gt;$D$2,0,IF($F$2=Choices!$A$2,IF(O301&gt;$E$2,OFFSET(LiborCurve!$A$1,O301,0)+$C$2,$B$2),$B$2))</f>
        <v>0</v>
      </c>
      <c r="R301" s="14">
        <f t="shared" ca="1" si="27"/>
        <v>0</v>
      </c>
      <c r="S301" s="14">
        <f>IF(O301&gt;$D$2,0,IF($G$2=Choices!$B$1,-PMT(Q301/12,$D$2-(O301-1),P301),0))</f>
        <v>0</v>
      </c>
      <c r="T301" s="14">
        <f ca="1">IF(AND($G$2=Choices!$B$2,O301=$D$2),P301,IF(AND($G$2=Choices!$B$2,O301&lt;$D$2),0,S301-R301))</f>
        <v>0</v>
      </c>
      <c r="U301" s="14">
        <f t="shared" ca="1" si="28"/>
        <v>0</v>
      </c>
      <c r="V301" s="14">
        <f t="shared" ca="1" si="29"/>
        <v>0</v>
      </c>
    </row>
    <row r="302" spans="1:22" x14ac:dyDescent="0.2">
      <c r="A302" s="5">
        <f t="shared" si="24"/>
        <v>295</v>
      </c>
      <c r="B302" s="23"/>
      <c r="C302" s="14">
        <v>0</v>
      </c>
      <c r="D302" s="14">
        <v>0</v>
      </c>
      <c r="E302" s="14">
        <v>0</v>
      </c>
      <c r="F302" s="14">
        <v>0</v>
      </c>
      <c r="G302" s="14">
        <v>0</v>
      </c>
      <c r="H302" s="23"/>
      <c r="I302" s="14">
        <v>0</v>
      </c>
      <c r="J302" s="14">
        <v>0</v>
      </c>
      <c r="K302" s="14">
        <v>0</v>
      </c>
      <c r="L302" s="14">
        <v>0</v>
      </c>
      <c r="M302" s="14">
        <v>0</v>
      </c>
      <c r="N302" s="23"/>
      <c r="O302" s="5">
        <f t="shared" si="25"/>
        <v>295</v>
      </c>
      <c r="P302" s="15">
        <f t="shared" ca="1" si="26"/>
        <v>0</v>
      </c>
      <c r="Q302" s="5">
        <f ca="1">IF(O302&gt;$D$2,0,IF($F$2=Choices!$A$2,IF(O302&gt;$E$2,OFFSET(LiborCurve!$A$1,O302,0)+$C$2,$B$2),$B$2))</f>
        <v>0</v>
      </c>
      <c r="R302" s="14">
        <f t="shared" ca="1" si="27"/>
        <v>0</v>
      </c>
      <c r="S302" s="14">
        <f>IF(O302&gt;$D$2,0,IF($G$2=Choices!$B$1,-PMT(Q302/12,$D$2-(O302-1),P302),0))</f>
        <v>0</v>
      </c>
      <c r="T302" s="14">
        <f ca="1">IF(AND($G$2=Choices!$B$2,O302=$D$2),P302,IF(AND($G$2=Choices!$B$2,O302&lt;$D$2),0,S302-R302))</f>
        <v>0</v>
      </c>
      <c r="U302" s="14">
        <f t="shared" ca="1" si="28"/>
        <v>0</v>
      </c>
      <c r="V302" s="14">
        <f t="shared" ca="1" si="29"/>
        <v>0</v>
      </c>
    </row>
    <row r="303" spans="1:22" x14ac:dyDescent="0.2">
      <c r="A303" s="5">
        <f t="shared" si="24"/>
        <v>296</v>
      </c>
      <c r="B303" s="23"/>
      <c r="C303" s="14">
        <v>0</v>
      </c>
      <c r="D303" s="14">
        <v>0</v>
      </c>
      <c r="E303" s="14">
        <v>0</v>
      </c>
      <c r="F303" s="14">
        <v>0</v>
      </c>
      <c r="G303" s="14">
        <v>0</v>
      </c>
      <c r="H303" s="23"/>
      <c r="I303" s="14">
        <v>0</v>
      </c>
      <c r="J303" s="14">
        <v>0</v>
      </c>
      <c r="K303" s="14">
        <v>0</v>
      </c>
      <c r="L303" s="14">
        <v>0</v>
      </c>
      <c r="M303" s="14">
        <v>0</v>
      </c>
      <c r="N303" s="23"/>
      <c r="O303" s="5">
        <f t="shared" si="25"/>
        <v>296</v>
      </c>
      <c r="P303" s="15">
        <f t="shared" ca="1" si="26"/>
        <v>0</v>
      </c>
      <c r="Q303" s="5">
        <f ca="1">IF(O303&gt;$D$2,0,IF($F$2=Choices!$A$2,IF(O303&gt;$E$2,OFFSET(LiborCurve!$A$1,O303,0)+$C$2,$B$2),$B$2))</f>
        <v>0</v>
      </c>
      <c r="R303" s="14">
        <f t="shared" ca="1" si="27"/>
        <v>0</v>
      </c>
      <c r="S303" s="14">
        <f>IF(O303&gt;$D$2,0,IF($G$2=Choices!$B$1,-PMT(Q303/12,$D$2-(O303-1),P303),0))</f>
        <v>0</v>
      </c>
      <c r="T303" s="14">
        <f ca="1">IF(AND($G$2=Choices!$B$2,O303=$D$2),P303,IF(AND($G$2=Choices!$B$2,O303&lt;$D$2),0,S303-R303))</f>
        <v>0</v>
      </c>
      <c r="U303" s="14">
        <f t="shared" ca="1" si="28"/>
        <v>0</v>
      </c>
      <c r="V303" s="14">
        <f t="shared" ca="1" si="29"/>
        <v>0</v>
      </c>
    </row>
    <row r="304" spans="1:22" x14ac:dyDescent="0.2">
      <c r="A304" s="5">
        <f t="shared" si="24"/>
        <v>297</v>
      </c>
      <c r="B304" s="23"/>
      <c r="C304" s="14">
        <v>0</v>
      </c>
      <c r="D304" s="14">
        <v>0</v>
      </c>
      <c r="E304" s="14">
        <v>0</v>
      </c>
      <c r="F304" s="14">
        <v>0</v>
      </c>
      <c r="G304" s="14">
        <v>0</v>
      </c>
      <c r="H304" s="23"/>
      <c r="I304" s="14">
        <v>0</v>
      </c>
      <c r="J304" s="14">
        <v>0</v>
      </c>
      <c r="K304" s="14">
        <v>0</v>
      </c>
      <c r="L304" s="14">
        <v>0</v>
      </c>
      <c r="M304" s="14">
        <v>0</v>
      </c>
      <c r="N304" s="23"/>
      <c r="O304" s="5">
        <f t="shared" si="25"/>
        <v>297</v>
      </c>
      <c r="P304" s="15">
        <f t="shared" ca="1" si="26"/>
        <v>0</v>
      </c>
      <c r="Q304" s="5">
        <f ca="1">IF(O304&gt;$D$2,0,IF($F$2=Choices!$A$2,IF(O304&gt;$E$2,OFFSET(LiborCurve!$A$1,O304,0)+$C$2,$B$2),$B$2))</f>
        <v>0</v>
      </c>
      <c r="R304" s="14">
        <f t="shared" ca="1" si="27"/>
        <v>0</v>
      </c>
      <c r="S304" s="14">
        <f>IF(O304&gt;$D$2,0,IF($G$2=Choices!$B$1,-PMT(Q304/12,$D$2-(O304-1),P304),0))</f>
        <v>0</v>
      </c>
      <c r="T304" s="14">
        <f ca="1">IF(AND($G$2=Choices!$B$2,O304=$D$2),P304,IF(AND($G$2=Choices!$B$2,O304&lt;$D$2),0,S304-R304))</f>
        <v>0</v>
      </c>
      <c r="U304" s="14">
        <f t="shared" ca="1" si="28"/>
        <v>0</v>
      </c>
      <c r="V304" s="14">
        <f t="shared" ca="1" si="29"/>
        <v>0</v>
      </c>
    </row>
    <row r="305" spans="1:22" x14ac:dyDescent="0.2">
      <c r="A305" s="5">
        <f t="shared" si="24"/>
        <v>298</v>
      </c>
      <c r="B305" s="23"/>
      <c r="C305" s="14">
        <v>0</v>
      </c>
      <c r="D305" s="14">
        <v>0</v>
      </c>
      <c r="E305" s="14">
        <v>0</v>
      </c>
      <c r="F305" s="14">
        <v>0</v>
      </c>
      <c r="G305" s="14">
        <v>0</v>
      </c>
      <c r="H305" s="23"/>
      <c r="I305" s="14">
        <v>0</v>
      </c>
      <c r="J305" s="14">
        <v>0</v>
      </c>
      <c r="K305" s="14">
        <v>0</v>
      </c>
      <c r="L305" s="14">
        <v>0</v>
      </c>
      <c r="M305" s="14">
        <v>0</v>
      </c>
      <c r="N305" s="23"/>
      <c r="O305" s="5">
        <f t="shared" si="25"/>
        <v>298</v>
      </c>
      <c r="P305" s="15">
        <f t="shared" ca="1" si="26"/>
        <v>0</v>
      </c>
      <c r="Q305" s="5">
        <f ca="1">IF(O305&gt;$D$2,0,IF($F$2=Choices!$A$2,IF(O305&gt;$E$2,OFFSET(LiborCurve!$A$1,O305,0)+$C$2,$B$2),$B$2))</f>
        <v>0</v>
      </c>
      <c r="R305" s="14">
        <f t="shared" ca="1" si="27"/>
        <v>0</v>
      </c>
      <c r="S305" s="14">
        <f>IF(O305&gt;$D$2,0,IF($G$2=Choices!$B$1,-PMT(Q305/12,$D$2-(O305-1),P305),0))</f>
        <v>0</v>
      </c>
      <c r="T305" s="14">
        <f ca="1">IF(AND($G$2=Choices!$B$2,O305=$D$2),P305,IF(AND($G$2=Choices!$B$2,O305&lt;$D$2),0,S305-R305))</f>
        <v>0</v>
      </c>
      <c r="U305" s="14">
        <f t="shared" ca="1" si="28"/>
        <v>0</v>
      </c>
      <c r="V305" s="14">
        <f t="shared" ca="1" si="29"/>
        <v>0</v>
      </c>
    </row>
    <row r="306" spans="1:22" x14ac:dyDescent="0.2">
      <c r="A306" s="5">
        <f t="shared" si="24"/>
        <v>299</v>
      </c>
      <c r="B306" s="23"/>
      <c r="C306" s="14">
        <v>0</v>
      </c>
      <c r="D306" s="14">
        <v>0</v>
      </c>
      <c r="E306" s="14">
        <v>0</v>
      </c>
      <c r="F306" s="14">
        <v>0</v>
      </c>
      <c r="G306" s="14">
        <v>0</v>
      </c>
      <c r="H306" s="23"/>
      <c r="I306" s="14">
        <v>0</v>
      </c>
      <c r="J306" s="14">
        <v>0</v>
      </c>
      <c r="K306" s="14">
        <v>0</v>
      </c>
      <c r="L306" s="14">
        <v>0</v>
      </c>
      <c r="M306" s="14">
        <v>0</v>
      </c>
      <c r="N306" s="23"/>
      <c r="O306" s="5">
        <f t="shared" si="25"/>
        <v>299</v>
      </c>
      <c r="P306" s="15">
        <f t="shared" ca="1" si="26"/>
        <v>0</v>
      </c>
      <c r="Q306" s="5">
        <f ca="1">IF(O306&gt;$D$2,0,IF($F$2=Choices!$A$2,IF(O306&gt;$E$2,OFFSET(LiborCurve!$A$1,O306,0)+$C$2,$B$2),$B$2))</f>
        <v>0</v>
      </c>
      <c r="R306" s="14">
        <f t="shared" ca="1" si="27"/>
        <v>0</v>
      </c>
      <c r="S306" s="14">
        <f>IF(O306&gt;$D$2,0,IF($G$2=Choices!$B$1,-PMT(Q306/12,$D$2-(O306-1),P306),0))</f>
        <v>0</v>
      </c>
      <c r="T306" s="14">
        <f ca="1">IF(AND($G$2=Choices!$B$2,O306=$D$2),P306,IF(AND($G$2=Choices!$B$2,O306&lt;$D$2),0,S306-R306))</f>
        <v>0</v>
      </c>
      <c r="U306" s="14">
        <f t="shared" ca="1" si="28"/>
        <v>0</v>
      </c>
      <c r="V306" s="14">
        <f t="shared" ca="1" si="29"/>
        <v>0</v>
      </c>
    </row>
    <row r="307" spans="1:22" x14ac:dyDescent="0.2">
      <c r="A307" s="5">
        <f t="shared" si="24"/>
        <v>300</v>
      </c>
      <c r="B307" s="23"/>
      <c r="C307" s="14">
        <v>0</v>
      </c>
      <c r="D307" s="14">
        <v>0</v>
      </c>
      <c r="E307" s="14">
        <v>0</v>
      </c>
      <c r="F307" s="14">
        <v>0</v>
      </c>
      <c r="G307" s="14">
        <v>0</v>
      </c>
      <c r="H307" s="23"/>
      <c r="I307" s="14">
        <v>0</v>
      </c>
      <c r="J307" s="14">
        <v>0</v>
      </c>
      <c r="K307" s="14">
        <v>0</v>
      </c>
      <c r="L307" s="14">
        <v>0</v>
      </c>
      <c r="M307" s="14">
        <v>0</v>
      </c>
      <c r="N307" s="23"/>
      <c r="O307" s="5">
        <f t="shared" si="25"/>
        <v>300</v>
      </c>
      <c r="P307" s="15">
        <f t="shared" ca="1" si="26"/>
        <v>0</v>
      </c>
      <c r="Q307" s="5">
        <f ca="1">IF(O307&gt;$D$2,0,IF($F$2=Choices!$A$2,IF(O307&gt;$E$2,OFFSET(LiborCurve!$A$1,O307,0)+$C$2,$B$2),$B$2))</f>
        <v>0</v>
      </c>
      <c r="R307" s="14">
        <f t="shared" ca="1" si="27"/>
        <v>0</v>
      </c>
      <c r="S307" s="14">
        <f>IF(O307&gt;$D$2,0,IF($G$2=Choices!$B$1,-PMT(Q307/12,$D$2-(O307-1),P307),0))</f>
        <v>0</v>
      </c>
      <c r="T307" s="14">
        <f ca="1">IF(AND($G$2=Choices!$B$2,O307=$D$2),P307,IF(AND($G$2=Choices!$B$2,O307&lt;$D$2),0,S307-R307))</f>
        <v>0</v>
      </c>
      <c r="U307" s="14">
        <f t="shared" ca="1" si="28"/>
        <v>0</v>
      </c>
      <c r="V307" s="14">
        <f t="shared" ca="1" si="29"/>
        <v>0</v>
      </c>
    </row>
    <row r="308" spans="1:22" x14ac:dyDescent="0.2">
      <c r="A308" s="5">
        <f t="shared" si="24"/>
        <v>301</v>
      </c>
      <c r="B308" s="23"/>
      <c r="C308" s="14">
        <v>0</v>
      </c>
      <c r="D308" s="14">
        <v>0</v>
      </c>
      <c r="E308" s="14">
        <v>0</v>
      </c>
      <c r="F308" s="14">
        <v>0</v>
      </c>
      <c r="G308" s="14">
        <v>0</v>
      </c>
      <c r="H308" s="23"/>
      <c r="I308" s="14">
        <v>0</v>
      </c>
      <c r="J308" s="14">
        <v>0</v>
      </c>
      <c r="K308" s="14">
        <v>0</v>
      </c>
      <c r="L308" s="14">
        <v>0</v>
      </c>
      <c r="M308" s="14">
        <v>0</v>
      </c>
      <c r="N308" s="23"/>
      <c r="O308" s="5">
        <f t="shared" si="25"/>
        <v>301</v>
      </c>
      <c r="P308" s="15">
        <f t="shared" ca="1" si="26"/>
        <v>0</v>
      </c>
      <c r="Q308" s="5">
        <f ca="1">IF(O308&gt;$D$2,0,IF($F$2=Choices!$A$2,IF(O308&gt;$E$2,OFFSET(LiborCurve!$A$1,O308,0)+$C$2,$B$2),$B$2))</f>
        <v>0</v>
      </c>
      <c r="R308" s="14">
        <f t="shared" ca="1" si="27"/>
        <v>0</v>
      </c>
      <c r="S308" s="14">
        <f>IF(O308&gt;$D$2,0,IF($G$2=Choices!$B$1,-PMT(Q308/12,$D$2-(O308-1),P308),0))</f>
        <v>0</v>
      </c>
      <c r="T308" s="14">
        <f ca="1">IF(AND($G$2=Choices!$B$2,O308=$D$2),P308,IF(AND($G$2=Choices!$B$2,O308&lt;$D$2),0,S308-R308))</f>
        <v>0</v>
      </c>
      <c r="U308" s="14">
        <f t="shared" ca="1" si="28"/>
        <v>0</v>
      </c>
      <c r="V308" s="14">
        <f t="shared" ca="1" si="29"/>
        <v>0</v>
      </c>
    </row>
    <row r="309" spans="1:22" x14ac:dyDescent="0.2">
      <c r="A309" s="5">
        <f t="shared" si="24"/>
        <v>302</v>
      </c>
      <c r="B309" s="23"/>
      <c r="C309" s="14">
        <v>0</v>
      </c>
      <c r="D309" s="14">
        <v>0</v>
      </c>
      <c r="E309" s="14">
        <v>0</v>
      </c>
      <c r="F309" s="14">
        <v>0</v>
      </c>
      <c r="G309" s="14">
        <v>0</v>
      </c>
      <c r="H309" s="23"/>
      <c r="I309" s="14">
        <v>0</v>
      </c>
      <c r="J309" s="14">
        <v>0</v>
      </c>
      <c r="K309" s="14">
        <v>0</v>
      </c>
      <c r="L309" s="14">
        <v>0</v>
      </c>
      <c r="M309" s="14">
        <v>0</v>
      </c>
      <c r="N309" s="23"/>
      <c r="O309" s="5">
        <f t="shared" si="25"/>
        <v>302</v>
      </c>
      <c r="P309" s="15">
        <f t="shared" ca="1" si="26"/>
        <v>0</v>
      </c>
      <c r="Q309" s="5">
        <f ca="1">IF(O309&gt;$D$2,0,IF($F$2=Choices!$A$2,IF(O309&gt;$E$2,OFFSET(LiborCurve!$A$1,O309,0)+$C$2,$B$2),$B$2))</f>
        <v>0</v>
      </c>
      <c r="R309" s="14">
        <f t="shared" ca="1" si="27"/>
        <v>0</v>
      </c>
      <c r="S309" s="14">
        <f>IF(O309&gt;$D$2,0,IF($G$2=Choices!$B$1,-PMT(Q309/12,$D$2-(O309-1),P309),0))</f>
        <v>0</v>
      </c>
      <c r="T309" s="14">
        <f ca="1">IF(AND($G$2=Choices!$B$2,O309=$D$2),P309,IF(AND($G$2=Choices!$B$2,O309&lt;$D$2),0,S309-R309))</f>
        <v>0</v>
      </c>
      <c r="U309" s="14">
        <f t="shared" ca="1" si="28"/>
        <v>0</v>
      </c>
      <c r="V309" s="14">
        <f t="shared" ca="1" si="29"/>
        <v>0</v>
      </c>
    </row>
    <row r="310" spans="1:22" x14ac:dyDescent="0.2">
      <c r="A310" s="5">
        <f t="shared" si="24"/>
        <v>303</v>
      </c>
      <c r="B310" s="23"/>
      <c r="C310" s="14">
        <v>0</v>
      </c>
      <c r="D310" s="14">
        <v>0</v>
      </c>
      <c r="E310" s="14">
        <v>0</v>
      </c>
      <c r="F310" s="14">
        <v>0</v>
      </c>
      <c r="G310" s="14">
        <v>0</v>
      </c>
      <c r="H310" s="23"/>
      <c r="I310" s="14">
        <v>0</v>
      </c>
      <c r="J310" s="14">
        <v>0</v>
      </c>
      <c r="K310" s="14">
        <v>0</v>
      </c>
      <c r="L310" s="14">
        <v>0</v>
      </c>
      <c r="M310" s="14">
        <v>0</v>
      </c>
      <c r="N310" s="23"/>
      <c r="O310" s="5">
        <f t="shared" si="25"/>
        <v>303</v>
      </c>
      <c r="P310" s="15">
        <f t="shared" ca="1" si="26"/>
        <v>0</v>
      </c>
      <c r="Q310" s="5">
        <f ca="1">IF(O310&gt;$D$2,0,IF($F$2=Choices!$A$2,IF(O310&gt;$E$2,OFFSET(LiborCurve!$A$1,O310,0)+$C$2,$B$2),$B$2))</f>
        <v>0</v>
      </c>
      <c r="R310" s="14">
        <f t="shared" ca="1" si="27"/>
        <v>0</v>
      </c>
      <c r="S310" s="14">
        <f>IF(O310&gt;$D$2,0,IF($G$2=Choices!$B$1,-PMT(Q310/12,$D$2-(O310-1),P310),0))</f>
        <v>0</v>
      </c>
      <c r="T310" s="14">
        <f ca="1">IF(AND($G$2=Choices!$B$2,O310=$D$2),P310,IF(AND($G$2=Choices!$B$2,O310&lt;$D$2),0,S310-R310))</f>
        <v>0</v>
      </c>
      <c r="U310" s="14">
        <f t="shared" ca="1" si="28"/>
        <v>0</v>
      </c>
      <c r="V310" s="14">
        <f t="shared" ca="1" si="29"/>
        <v>0</v>
      </c>
    </row>
    <row r="311" spans="1:22" x14ac:dyDescent="0.2">
      <c r="A311" s="5">
        <f t="shared" si="24"/>
        <v>304</v>
      </c>
      <c r="B311" s="23"/>
      <c r="C311" s="14">
        <v>0</v>
      </c>
      <c r="D311" s="14">
        <v>0</v>
      </c>
      <c r="E311" s="14">
        <v>0</v>
      </c>
      <c r="F311" s="14">
        <v>0</v>
      </c>
      <c r="G311" s="14">
        <v>0</v>
      </c>
      <c r="H311" s="23"/>
      <c r="I311" s="14">
        <v>0</v>
      </c>
      <c r="J311" s="14">
        <v>0</v>
      </c>
      <c r="K311" s="14">
        <v>0</v>
      </c>
      <c r="L311" s="14">
        <v>0</v>
      </c>
      <c r="M311" s="14">
        <v>0</v>
      </c>
      <c r="N311" s="23"/>
      <c r="O311" s="5">
        <f t="shared" si="25"/>
        <v>304</v>
      </c>
      <c r="P311" s="15">
        <f t="shared" ca="1" si="26"/>
        <v>0</v>
      </c>
      <c r="Q311" s="5">
        <f ca="1">IF(O311&gt;$D$2,0,IF($F$2=Choices!$A$2,IF(O311&gt;$E$2,OFFSET(LiborCurve!$A$1,O311,0)+$C$2,$B$2),$B$2))</f>
        <v>0</v>
      </c>
      <c r="R311" s="14">
        <f t="shared" ca="1" si="27"/>
        <v>0</v>
      </c>
      <c r="S311" s="14">
        <f>IF(O311&gt;$D$2,0,IF($G$2=Choices!$B$1,-PMT(Q311/12,$D$2-(O311-1),P311),0))</f>
        <v>0</v>
      </c>
      <c r="T311" s="14">
        <f ca="1">IF(AND($G$2=Choices!$B$2,O311=$D$2),P311,IF(AND($G$2=Choices!$B$2,O311&lt;$D$2),0,S311-R311))</f>
        <v>0</v>
      </c>
      <c r="U311" s="14">
        <f t="shared" ca="1" si="28"/>
        <v>0</v>
      </c>
      <c r="V311" s="14">
        <f t="shared" ca="1" si="29"/>
        <v>0</v>
      </c>
    </row>
    <row r="312" spans="1:22" x14ac:dyDescent="0.2">
      <c r="A312" s="5">
        <f t="shared" si="24"/>
        <v>305</v>
      </c>
      <c r="B312" s="23"/>
      <c r="C312" s="14">
        <v>0</v>
      </c>
      <c r="D312" s="14">
        <v>0</v>
      </c>
      <c r="E312" s="14">
        <v>0</v>
      </c>
      <c r="F312" s="14">
        <v>0</v>
      </c>
      <c r="G312" s="14">
        <v>0</v>
      </c>
      <c r="H312" s="23"/>
      <c r="I312" s="14">
        <v>0</v>
      </c>
      <c r="J312" s="14">
        <v>0</v>
      </c>
      <c r="K312" s="14">
        <v>0</v>
      </c>
      <c r="L312" s="14">
        <v>0</v>
      </c>
      <c r="M312" s="14">
        <v>0</v>
      </c>
      <c r="N312" s="23"/>
      <c r="O312" s="5">
        <f t="shared" si="25"/>
        <v>305</v>
      </c>
      <c r="P312" s="15">
        <f t="shared" ca="1" si="26"/>
        <v>0</v>
      </c>
      <c r="Q312" s="5">
        <f ca="1">IF(O312&gt;$D$2,0,IF($F$2=Choices!$A$2,IF(O312&gt;$E$2,OFFSET(LiborCurve!$A$1,O312,0)+$C$2,$B$2),$B$2))</f>
        <v>0</v>
      </c>
      <c r="R312" s="14">
        <f t="shared" ca="1" si="27"/>
        <v>0</v>
      </c>
      <c r="S312" s="14">
        <f>IF(O312&gt;$D$2,0,IF($G$2=Choices!$B$1,-PMT(Q312/12,$D$2-(O312-1),P312),0))</f>
        <v>0</v>
      </c>
      <c r="T312" s="14">
        <f ca="1">IF(AND($G$2=Choices!$B$2,O312=$D$2),P312,IF(AND($G$2=Choices!$B$2,O312&lt;$D$2),0,S312-R312))</f>
        <v>0</v>
      </c>
      <c r="U312" s="14">
        <f t="shared" ca="1" si="28"/>
        <v>0</v>
      </c>
      <c r="V312" s="14">
        <f t="shared" ca="1" si="29"/>
        <v>0</v>
      </c>
    </row>
    <row r="313" spans="1:22" x14ac:dyDescent="0.2">
      <c r="A313" s="5">
        <f t="shared" si="24"/>
        <v>306</v>
      </c>
      <c r="B313" s="23"/>
      <c r="C313" s="14">
        <v>0</v>
      </c>
      <c r="D313" s="14">
        <v>0</v>
      </c>
      <c r="E313" s="14">
        <v>0</v>
      </c>
      <c r="F313" s="14">
        <v>0</v>
      </c>
      <c r="G313" s="14">
        <v>0</v>
      </c>
      <c r="H313" s="23"/>
      <c r="I313" s="14">
        <v>0</v>
      </c>
      <c r="J313" s="14">
        <v>0</v>
      </c>
      <c r="K313" s="14">
        <v>0</v>
      </c>
      <c r="L313" s="14">
        <v>0</v>
      </c>
      <c r="M313" s="14">
        <v>0</v>
      </c>
      <c r="N313" s="23"/>
      <c r="O313" s="5">
        <f t="shared" si="25"/>
        <v>306</v>
      </c>
      <c r="P313" s="15">
        <f t="shared" ca="1" si="26"/>
        <v>0</v>
      </c>
      <c r="Q313" s="5">
        <f ca="1">IF(O313&gt;$D$2,0,IF($F$2=Choices!$A$2,IF(O313&gt;$E$2,OFFSET(LiborCurve!$A$1,O313,0)+$C$2,$B$2),$B$2))</f>
        <v>0</v>
      </c>
      <c r="R313" s="14">
        <f t="shared" ca="1" si="27"/>
        <v>0</v>
      </c>
      <c r="S313" s="14">
        <f>IF(O313&gt;$D$2,0,IF($G$2=Choices!$B$1,-PMT(Q313/12,$D$2-(O313-1),P313),0))</f>
        <v>0</v>
      </c>
      <c r="T313" s="14">
        <f ca="1">IF(AND($G$2=Choices!$B$2,O313=$D$2),P313,IF(AND($G$2=Choices!$B$2,O313&lt;$D$2),0,S313-R313))</f>
        <v>0</v>
      </c>
      <c r="U313" s="14">
        <f t="shared" ca="1" si="28"/>
        <v>0</v>
      </c>
      <c r="V313" s="14">
        <f t="shared" ca="1" si="29"/>
        <v>0</v>
      </c>
    </row>
    <row r="314" spans="1:22" x14ac:dyDescent="0.2">
      <c r="A314" s="5">
        <f t="shared" si="24"/>
        <v>307</v>
      </c>
      <c r="B314" s="23"/>
      <c r="C314" s="14">
        <v>0</v>
      </c>
      <c r="D314" s="14">
        <v>0</v>
      </c>
      <c r="E314" s="14">
        <v>0</v>
      </c>
      <c r="F314" s="14">
        <v>0</v>
      </c>
      <c r="G314" s="14">
        <v>0</v>
      </c>
      <c r="H314" s="23"/>
      <c r="I314" s="14">
        <v>0</v>
      </c>
      <c r="J314" s="14">
        <v>0</v>
      </c>
      <c r="K314" s="14">
        <v>0</v>
      </c>
      <c r="L314" s="14">
        <v>0</v>
      </c>
      <c r="M314" s="14">
        <v>0</v>
      </c>
      <c r="N314" s="23"/>
      <c r="O314" s="5">
        <f t="shared" si="25"/>
        <v>307</v>
      </c>
      <c r="P314" s="15">
        <f t="shared" ca="1" si="26"/>
        <v>0</v>
      </c>
      <c r="Q314" s="5">
        <f ca="1">IF(O314&gt;$D$2,0,IF($F$2=Choices!$A$2,IF(O314&gt;$E$2,OFFSET(LiborCurve!$A$1,O314,0)+$C$2,$B$2),$B$2))</f>
        <v>0</v>
      </c>
      <c r="R314" s="14">
        <f t="shared" ca="1" si="27"/>
        <v>0</v>
      </c>
      <c r="S314" s="14">
        <f>IF(O314&gt;$D$2,0,IF($G$2=Choices!$B$1,-PMT(Q314/12,$D$2-(O314-1),P314),0))</f>
        <v>0</v>
      </c>
      <c r="T314" s="14">
        <f ca="1">IF(AND($G$2=Choices!$B$2,O314=$D$2),P314,IF(AND($G$2=Choices!$B$2,O314&lt;$D$2),0,S314-R314))</f>
        <v>0</v>
      </c>
      <c r="U314" s="14">
        <f t="shared" ca="1" si="28"/>
        <v>0</v>
      </c>
      <c r="V314" s="14">
        <f t="shared" ca="1" si="29"/>
        <v>0</v>
      </c>
    </row>
    <row r="315" spans="1:22" x14ac:dyDescent="0.2">
      <c r="A315" s="5">
        <f t="shared" si="24"/>
        <v>308</v>
      </c>
      <c r="B315" s="23"/>
      <c r="C315" s="14">
        <v>0</v>
      </c>
      <c r="D315" s="14">
        <v>0</v>
      </c>
      <c r="E315" s="14">
        <v>0</v>
      </c>
      <c r="F315" s="14">
        <v>0</v>
      </c>
      <c r="G315" s="14">
        <v>0</v>
      </c>
      <c r="H315" s="23"/>
      <c r="I315" s="14">
        <v>0</v>
      </c>
      <c r="J315" s="14">
        <v>0</v>
      </c>
      <c r="K315" s="14">
        <v>0</v>
      </c>
      <c r="L315" s="14">
        <v>0</v>
      </c>
      <c r="M315" s="14">
        <v>0</v>
      </c>
      <c r="N315" s="23"/>
      <c r="O315" s="5">
        <f t="shared" si="25"/>
        <v>308</v>
      </c>
      <c r="P315" s="15">
        <f t="shared" ca="1" si="26"/>
        <v>0</v>
      </c>
      <c r="Q315" s="5">
        <f ca="1">IF(O315&gt;$D$2,0,IF($F$2=Choices!$A$2,IF(O315&gt;$E$2,OFFSET(LiborCurve!$A$1,O315,0)+$C$2,$B$2),$B$2))</f>
        <v>0</v>
      </c>
      <c r="R315" s="14">
        <f t="shared" ca="1" si="27"/>
        <v>0</v>
      </c>
      <c r="S315" s="14">
        <f>IF(O315&gt;$D$2,0,IF($G$2=Choices!$B$1,-PMT(Q315/12,$D$2-(O315-1),P315),0))</f>
        <v>0</v>
      </c>
      <c r="T315" s="14">
        <f ca="1">IF(AND($G$2=Choices!$B$2,O315=$D$2),P315,IF(AND($G$2=Choices!$B$2,O315&lt;$D$2),0,S315-R315))</f>
        <v>0</v>
      </c>
      <c r="U315" s="14">
        <f t="shared" ca="1" si="28"/>
        <v>0</v>
      </c>
      <c r="V315" s="14">
        <f t="shared" ca="1" si="29"/>
        <v>0</v>
      </c>
    </row>
    <row r="316" spans="1:22" x14ac:dyDescent="0.2">
      <c r="A316" s="5">
        <f t="shared" si="24"/>
        <v>309</v>
      </c>
      <c r="B316" s="23"/>
      <c r="C316" s="14">
        <v>0</v>
      </c>
      <c r="D316" s="14">
        <v>0</v>
      </c>
      <c r="E316" s="14">
        <v>0</v>
      </c>
      <c r="F316" s="14">
        <v>0</v>
      </c>
      <c r="G316" s="14">
        <v>0</v>
      </c>
      <c r="H316" s="23"/>
      <c r="I316" s="14">
        <v>0</v>
      </c>
      <c r="J316" s="14">
        <v>0</v>
      </c>
      <c r="K316" s="14">
        <v>0</v>
      </c>
      <c r="L316" s="14">
        <v>0</v>
      </c>
      <c r="M316" s="14">
        <v>0</v>
      </c>
      <c r="N316" s="23"/>
      <c r="O316" s="5">
        <f t="shared" si="25"/>
        <v>309</v>
      </c>
      <c r="P316" s="15">
        <f t="shared" ca="1" si="26"/>
        <v>0</v>
      </c>
      <c r="Q316" s="5">
        <f ca="1">IF(O316&gt;$D$2,0,IF($F$2=Choices!$A$2,IF(O316&gt;$E$2,OFFSET(LiborCurve!$A$1,O316,0)+$C$2,$B$2),$B$2))</f>
        <v>0</v>
      </c>
      <c r="R316" s="14">
        <f t="shared" ca="1" si="27"/>
        <v>0</v>
      </c>
      <c r="S316" s="14">
        <f>IF(O316&gt;$D$2,0,IF($G$2=Choices!$B$1,-PMT(Q316/12,$D$2-(O316-1),P316),0))</f>
        <v>0</v>
      </c>
      <c r="T316" s="14">
        <f ca="1">IF(AND($G$2=Choices!$B$2,O316=$D$2),P316,IF(AND($G$2=Choices!$B$2,O316&lt;$D$2),0,S316-R316))</f>
        <v>0</v>
      </c>
      <c r="U316" s="14">
        <f t="shared" ca="1" si="28"/>
        <v>0</v>
      </c>
      <c r="V316" s="14">
        <f t="shared" ca="1" si="29"/>
        <v>0</v>
      </c>
    </row>
    <row r="317" spans="1:22" x14ac:dyDescent="0.2">
      <c r="A317" s="5">
        <f t="shared" si="24"/>
        <v>310</v>
      </c>
      <c r="B317" s="23"/>
      <c r="C317" s="14">
        <v>0</v>
      </c>
      <c r="D317" s="14">
        <v>0</v>
      </c>
      <c r="E317" s="14">
        <v>0</v>
      </c>
      <c r="F317" s="14">
        <v>0</v>
      </c>
      <c r="G317" s="14">
        <v>0</v>
      </c>
      <c r="H317" s="23"/>
      <c r="I317" s="14">
        <v>0</v>
      </c>
      <c r="J317" s="14">
        <v>0</v>
      </c>
      <c r="K317" s="14">
        <v>0</v>
      </c>
      <c r="L317" s="14">
        <v>0</v>
      </c>
      <c r="M317" s="14">
        <v>0</v>
      </c>
      <c r="N317" s="23"/>
      <c r="O317" s="5">
        <f t="shared" si="25"/>
        <v>310</v>
      </c>
      <c r="P317" s="15">
        <f t="shared" ca="1" si="26"/>
        <v>0</v>
      </c>
      <c r="Q317" s="5">
        <f ca="1">IF(O317&gt;$D$2,0,IF($F$2=Choices!$A$2,IF(O317&gt;$E$2,OFFSET(LiborCurve!$A$1,O317,0)+$C$2,$B$2),$B$2))</f>
        <v>0</v>
      </c>
      <c r="R317" s="14">
        <f t="shared" ca="1" si="27"/>
        <v>0</v>
      </c>
      <c r="S317" s="14">
        <f>IF(O317&gt;$D$2,0,IF($G$2=Choices!$B$1,-PMT(Q317/12,$D$2-(O317-1),P317),0))</f>
        <v>0</v>
      </c>
      <c r="T317" s="14">
        <f ca="1">IF(AND($G$2=Choices!$B$2,O317=$D$2),P317,IF(AND($G$2=Choices!$B$2,O317&lt;$D$2),0,S317-R317))</f>
        <v>0</v>
      </c>
      <c r="U317" s="14">
        <f t="shared" ca="1" si="28"/>
        <v>0</v>
      </c>
      <c r="V317" s="14">
        <f t="shared" ca="1" si="29"/>
        <v>0</v>
      </c>
    </row>
    <row r="318" spans="1:22" x14ac:dyDescent="0.2">
      <c r="A318" s="5">
        <f t="shared" si="24"/>
        <v>311</v>
      </c>
      <c r="B318" s="23"/>
      <c r="C318" s="14">
        <v>0</v>
      </c>
      <c r="D318" s="14">
        <v>0</v>
      </c>
      <c r="E318" s="14">
        <v>0</v>
      </c>
      <c r="F318" s="14">
        <v>0</v>
      </c>
      <c r="G318" s="14">
        <v>0</v>
      </c>
      <c r="H318" s="23"/>
      <c r="I318" s="14">
        <v>0</v>
      </c>
      <c r="J318" s="14">
        <v>0</v>
      </c>
      <c r="K318" s="14">
        <v>0</v>
      </c>
      <c r="L318" s="14">
        <v>0</v>
      </c>
      <c r="M318" s="14">
        <v>0</v>
      </c>
      <c r="N318" s="23"/>
      <c r="O318" s="5">
        <f t="shared" si="25"/>
        <v>311</v>
      </c>
      <c r="P318" s="15">
        <f t="shared" ca="1" si="26"/>
        <v>0</v>
      </c>
      <c r="Q318" s="5">
        <f ca="1">IF(O318&gt;$D$2,0,IF($F$2=Choices!$A$2,IF(O318&gt;$E$2,OFFSET(LiborCurve!$A$1,O318,0)+$C$2,$B$2),$B$2))</f>
        <v>0</v>
      </c>
      <c r="R318" s="14">
        <f t="shared" ca="1" si="27"/>
        <v>0</v>
      </c>
      <c r="S318" s="14">
        <f>IF(O318&gt;$D$2,0,IF($G$2=Choices!$B$1,-PMT(Q318/12,$D$2-(O318-1),P318),0))</f>
        <v>0</v>
      </c>
      <c r="T318" s="14">
        <f ca="1">IF(AND($G$2=Choices!$B$2,O318=$D$2),P318,IF(AND($G$2=Choices!$B$2,O318&lt;$D$2),0,S318-R318))</f>
        <v>0</v>
      </c>
      <c r="U318" s="14">
        <f t="shared" ca="1" si="28"/>
        <v>0</v>
      </c>
      <c r="V318" s="14">
        <f t="shared" ca="1" si="29"/>
        <v>0</v>
      </c>
    </row>
    <row r="319" spans="1:22" x14ac:dyDescent="0.2">
      <c r="A319" s="5">
        <f t="shared" si="24"/>
        <v>312</v>
      </c>
      <c r="B319" s="23"/>
      <c r="C319" s="14">
        <v>0</v>
      </c>
      <c r="D319" s="14">
        <v>0</v>
      </c>
      <c r="E319" s="14">
        <v>0</v>
      </c>
      <c r="F319" s="14">
        <v>0</v>
      </c>
      <c r="G319" s="14">
        <v>0</v>
      </c>
      <c r="H319" s="23"/>
      <c r="I319" s="14">
        <v>0</v>
      </c>
      <c r="J319" s="14">
        <v>0</v>
      </c>
      <c r="K319" s="14">
        <v>0</v>
      </c>
      <c r="L319" s="14">
        <v>0</v>
      </c>
      <c r="M319" s="14">
        <v>0</v>
      </c>
      <c r="N319" s="23"/>
      <c r="O319" s="5">
        <f t="shared" si="25"/>
        <v>312</v>
      </c>
      <c r="P319" s="15">
        <f t="shared" ca="1" si="26"/>
        <v>0</v>
      </c>
      <c r="Q319" s="5">
        <f ca="1">IF(O319&gt;$D$2,0,IF($F$2=Choices!$A$2,IF(O319&gt;$E$2,OFFSET(LiborCurve!$A$1,O319,0)+$C$2,$B$2),$B$2))</f>
        <v>0</v>
      </c>
      <c r="R319" s="14">
        <f t="shared" ca="1" si="27"/>
        <v>0</v>
      </c>
      <c r="S319" s="14">
        <f>IF(O319&gt;$D$2,0,IF($G$2=Choices!$B$1,-PMT(Q319/12,$D$2-(O319-1),P319),0))</f>
        <v>0</v>
      </c>
      <c r="T319" s="14">
        <f ca="1">IF(AND($G$2=Choices!$B$2,O319=$D$2),P319,IF(AND($G$2=Choices!$B$2,O319&lt;$D$2),0,S319-R319))</f>
        <v>0</v>
      </c>
      <c r="U319" s="14">
        <f t="shared" ca="1" si="28"/>
        <v>0</v>
      </c>
      <c r="V319" s="14">
        <f t="shared" ca="1" si="29"/>
        <v>0</v>
      </c>
    </row>
    <row r="320" spans="1:22" x14ac:dyDescent="0.2">
      <c r="A320" s="5">
        <f t="shared" si="24"/>
        <v>313</v>
      </c>
      <c r="B320" s="23"/>
      <c r="C320" s="14">
        <v>0</v>
      </c>
      <c r="D320" s="14">
        <v>0</v>
      </c>
      <c r="E320" s="14">
        <v>0</v>
      </c>
      <c r="F320" s="14">
        <v>0</v>
      </c>
      <c r="G320" s="14">
        <v>0</v>
      </c>
      <c r="H320" s="23"/>
      <c r="I320" s="14">
        <v>0</v>
      </c>
      <c r="J320" s="14">
        <v>0</v>
      </c>
      <c r="K320" s="14">
        <v>0</v>
      </c>
      <c r="L320" s="14">
        <v>0</v>
      </c>
      <c r="M320" s="14">
        <v>0</v>
      </c>
      <c r="N320" s="23"/>
      <c r="O320" s="5">
        <f t="shared" si="25"/>
        <v>313</v>
      </c>
      <c r="P320" s="15">
        <f t="shared" ca="1" si="26"/>
        <v>0</v>
      </c>
      <c r="Q320" s="5">
        <f ca="1">IF(O320&gt;$D$2,0,IF($F$2=Choices!$A$2,IF(O320&gt;$E$2,OFFSET(LiborCurve!$A$1,O320,0)+$C$2,$B$2),$B$2))</f>
        <v>0</v>
      </c>
      <c r="R320" s="14">
        <f t="shared" ca="1" si="27"/>
        <v>0</v>
      </c>
      <c r="S320" s="14">
        <f>IF(O320&gt;$D$2,0,IF($G$2=Choices!$B$1,-PMT(Q320/12,$D$2-(O320-1),P320),0))</f>
        <v>0</v>
      </c>
      <c r="T320" s="14">
        <f ca="1">IF(AND($G$2=Choices!$B$2,O320=$D$2),P320,IF(AND($G$2=Choices!$B$2,O320&lt;$D$2),0,S320-R320))</f>
        <v>0</v>
      </c>
      <c r="U320" s="14">
        <f t="shared" ca="1" si="28"/>
        <v>0</v>
      </c>
      <c r="V320" s="14">
        <f t="shared" ca="1" si="29"/>
        <v>0</v>
      </c>
    </row>
    <row r="321" spans="1:22" x14ac:dyDescent="0.2">
      <c r="A321" s="5">
        <f t="shared" si="24"/>
        <v>314</v>
      </c>
      <c r="B321" s="23"/>
      <c r="C321" s="14">
        <v>0</v>
      </c>
      <c r="D321" s="14">
        <v>0</v>
      </c>
      <c r="E321" s="14">
        <v>0</v>
      </c>
      <c r="F321" s="14">
        <v>0</v>
      </c>
      <c r="G321" s="14">
        <v>0</v>
      </c>
      <c r="H321" s="23"/>
      <c r="I321" s="14">
        <v>0</v>
      </c>
      <c r="J321" s="14">
        <v>0</v>
      </c>
      <c r="K321" s="14">
        <v>0</v>
      </c>
      <c r="L321" s="14">
        <v>0</v>
      </c>
      <c r="M321" s="14">
        <v>0</v>
      </c>
      <c r="N321" s="23"/>
      <c r="O321" s="5">
        <f t="shared" si="25"/>
        <v>314</v>
      </c>
      <c r="P321" s="15">
        <f t="shared" ca="1" si="26"/>
        <v>0</v>
      </c>
      <c r="Q321" s="5">
        <f ca="1">IF(O321&gt;$D$2,0,IF($F$2=Choices!$A$2,IF(O321&gt;$E$2,OFFSET(LiborCurve!$A$1,O321,0)+$C$2,$B$2),$B$2))</f>
        <v>0</v>
      </c>
      <c r="R321" s="14">
        <f t="shared" ca="1" si="27"/>
        <v>0</v>
      </c>
      <c r="S321" s="14">
        <f>IF(O321&gt;$D$2,0,IF($G$2=Choices!$B$1,-PMT(Q321/12,$D$2-(O321-1),P321),0))</f>
        <v>0</v>
      </c>
      <c r="T321" s="14">
        <f ca="1">IF(AND($G$2=Choices!$B$2,O321=$D$2),P321,IF(AND($G$2=Choices!$B$2,O321&lt;$D$2),0,S321-R321))</f>
        <v>0</v>
      </c>
      <c r="U321" s="14">
        <f t="shared" ca="1" si="28"/>
        <v>0</v>
      </c>
      <c r="V321" s="14">
        <f t="shared" ca="1" si="29"/>
        <v>0</v>
      </c>
    </row>
    <row r="322" spans="1:22" x14ac:dyDescent="0.2">
      <c r="A322" s="5">
        <f t="shared" si="24"/>
        <v>315</v>
      </c>
      <c r="B322" s="23"/>
      <c r="C322" s="14">
        <v>0</v>
      </c>
      <c r="D322" s="14">
        <v>0</v>
      </c>
      <c r="E322" s="14">
        <v>0</v>
      </c>
      <c r="F322" s="14">
        <v>0</v>
      </c>
      <c r="G322" s="14">
        <v>0</v>
      </c>
      <c r="H322" s="23"/>
      <c r="I322" s="14">
        <v>0</v>
      </c>
      <c r="J322" s="14">
        <v>0</v>
      </c>
      <c r="K322" s="14">
        <v>0</v>
      </c>
      <c r="L322" s="14">
        <v>0</v>
      </c>
      <c r="M322" s="14">
        <v>0</v>
      </c>
      <c r="N322" s="23"/>
      <c r="O322" s="5">
        <f t="shared" si="25"/>
        <v>315</v>
      </c>
      <c r="P322" s="15">
        <f t="shared" ca="1" si="26"/>
        <v>0</v>
      </c>
      <c r="Q322" s="5">
        <f ca="1">IF(O322&gt;$D$2,0,IF($F$2=Choices!$A$2,IF(O322&gt;$E$2,OFFSET(LiborCurve!$A$1,O322,0)+$C$2,$B$2),$B$2))</f>
        <v>0</v>
      </c>
      <c r="R322" s="14">
        <f t="shared" ca="1" si="27"/>
        <v>0</v>
      </c>
      <c r="S322" s="14">
        <f>IF(O322&gt;$D$2,0,IF($G$2=Choices!$B$1,-PMT(Q322/12,$D$2-(O322-1),P322),0))</f>
        <v>0</v>
      </c>
      <c r="T322" s="14">
        <f ca="1">IF(AND($G$2=Choices!$B$2,O322=$D$2),P322,IF(AND($G$2=Choices!$B$2,O322&lt;$D$2),0,S322-R322))</f>
        <v>0</v>
      </c>
      <c r="U322" s="14">
        <f t="shared" ca="1" si="28"/>
        <v>0</v>
      </c>
      <c r="V322" s="14">
        <f t="shared" ca="1" si="29"/>
        <v>0</v>
      </c>
    </row>
    <row r="323" spans="1:22" x14ac:dyDescent="0.2">
      <c r="A323" s="5">
        <f t="shared" si="24"/>
        <v>316</v>
      </c>
      <c r="B323" s="23"/>
      <c r="C323" s="14">
        <v>0</v>
      </c>
      <c r="D323" s="14">
        <v>0</v>
      </c>
      <c r="E323" s="14">
        <v>0</v>
      </c>
      <c r="F323" s="14">
        <v>0</v>
      </c>
      <c r="G323" s="14">
        <v>0</v>
      </c>
      <c r="H323" s="23"/>
      <c r="I323" s="14">
        <v>0</v>
      </c>
      <c r="J323" s="14">
        <v>0</v>
      </c>
      <c r="K323" s="14">
        <v>0</v>
      </c>
      <c r="L323" s="14">
        <v>0</v>
      </c>
      <c r="M323" s="14">
        <v>0</v>
      </c>
      <c r="N323" s="23"/>
      <c r="O323" s="5">
        <f t="shared" si="25"/>
        <v>316</v>
      </c>
      <c r="P323" s="15">
        <f t="shared" ca="1" si="26"/>
        <v>0</v>
      </c>
      <c r="Q323" s="5">
        <f ca="1">IF(O323&gt;$D$2,0,IF($F$2=Choices!$A$2,IF(O323&gt;$E$2,OFFSET(LiborCurve!$A$1,O323,0)+$C$2,$B$2),$B$2))</f>
        <v>0</v>
      </c>
      <c r="R323" s="14">
        <f t="shared" ca="1" si="27"/>
        <v>0</v>
      </c>
      <c r="S323" s="14">
        <f>IF(O323&gt;$D$2,0,IF($G$2=Choices!$B$1,-PMT(Q323/12,$D$2-(O323-1),P323),0))</f>
        <v>0</v>
      </c>
      <c r="T323" s="14">
        <f ca="1">IF(AND($G$2=Choices!$B$2,O323=$D$2),P323,IF(AND($G$2=Choices!$B$2,O323&lt;$D$2),0,S323-R323))</f>
        <v>0</v>
      </c>
      <c r="U323" s="14">
        <f t="shared" ca="1" si="28"/>
        <v>0</v>
      </c>
      <c r="V323" s="14">
        <f t="shared" ca="1" si="29"/>
        <v>0</v>
      </c>
    </row>
    <row r="324" spans="1:22" x14ac:dyDescent="0.2">
      <c r="A324" s="5">
        <f t="shared" si="24"/>
        <v>317</v>
      </c>
      <c r="B324" s="23"/>
      <c r="C324" s="14">
        <v>0</v>
      </c>
      <c r="D324" s="14">
        <v>0</v>
      </c>
      <c r="E324" s="14">
        <v>0</v>
      </c>
      <c r="F324" s="14">
        <v>0</v>
      </c>
      <c r="G324" s="14">
        <v>0</v>
      </c>
      <c r="H324" s="23"/>
      <c r="I324" s="14">
        <v>0</v>
      </c>
      <c r="J324" s="14">
        <v>0</v>
      </c>
      <c r="K324" s="14">
        <v>0</v>
      </c>
      <c r="L324" s="14">
        <v>0</v>
      </c>
      <c r="M324" s="14">
        <v>0</v>
      </c>
      <c r="N324" s="23"/>
      <c r="O324" s="5">
        <f t="shared" si="25"/>
        <v>317</v>
      </c>
      <c r="P324" s="15">
        <f t="shared" ca="1" si="26"/>
        <v>0</v>
      </c>
      <c r="Q324" s="5">
        <f ca="1">IF(O324&gt;$D$2,0,IF($F$2=Choices!$A$2,IF(O324&gt;$E$2,OFFSET(LiborCurve!$A$1,O324,0)+$C$2,$B$2),$B$2))</f>
        <v>0</v>
      </c>
      <c r="R324" s="14">
        <f t="shared" ca="1" si="27"/>
        <v>0</v>
      </c>
      <c r="S324" s="14">
        <f>IF(O324&gt;$D$2,0,IF($G$2=Choices!$B$1,-PMT(Q324/12,$D$2-(O324-1),P324),0))</f>
        <v>0</v>
      </c>
      <c r="T324" s="14">
        <f ca="1">IF(AND($G$2=Choices!$B$2,O324=$D$2),P324,IF(AND($G$2=Choices!$B$2,O324&lt;$D$2),0,S324-R324))</f>
        <v>0</v>
      </c>
      <c r="U324" s="14">
        <f t="shared" ca="1" si="28"/>
        <v>0</v>
      </c>
      <c r="V324" s="14">
        <f t="shared" ca="1" si="29"/>
        <v>0</v>
      </c>
    </row>
    <row r="325" spans="1:22" x14ac:dyDescent="0.2">
      <c r="A325" s="5">
        <f t="shared" si="24"/>
        <v>318</v>
      </c>
      <c r="B325" s="23"/>
      <c r="C325" s="14">
        <v>0</v>
      </c>
      <c r="D325" s="14">
        <v>0</v>
      </c>
      <c r="E325" s="14">
        <v>0</v>
      </c>
      <c r="F325" s="14">
        <v>0</v>
      </c>
      <c r="G325" s="14">
        <v>0</v>
      </c>
      <c r="H325" s="23"/>
      <c r="I325" s="14">
        <v>0</v>
      </c>
      <c r="J325" s="14">
        <v>0</v>
      </c>
      <c r="K325" s="14">
        <v>0</v>
      </c>
      <c r="L325" s="14">
        <v>0</v>
      </c>
      <c r="M325" s="14">
        <v>0</v>
      </c>
      <c r="N325" s="23"/>
      <c r="O325" s="5">
        <f t="shared" si="25"/>
        <v>318</v>
      </c>
      <c r="P325" s="15">
        <f t="shared" ca="1" si="26"/>
        <v>0</v>
      </c>
      <c r="Q325" s="5">
        <f ca="1">IF(O325&gt;$D$2,0,IF($F$2=Choices!$A$2,IF(O325&gt;$E$2,OFFSET(LiborCurve!$A$1,O325,0)+$C$2,$B$2),$B$2))</f>
        <v>0</v>
      </c>
      <c r="R325" s="14">
        <f t="shared" ca="1" si="27"/>
        <v>0</v>
      </c>
      <c r="S325" s="14">
        <f>IF(O325&gt;$D$2,0,IF($G$2=Choices!$B$1,-PMT(Q325/12,$D$2-(O325-1),P325),0))</f>
        <v>0</v>
      </c>
      <c r="T325" s="14">
        <f ca="1">IF(AND($G$2=Choices!$B$2,O325=$D$2),P325,IF(AND($G$2=Choices!$B$2,O325&lt;$D$2),0,S325-R325))</f>
        <v>0</v>
      </c>
      <c r="U325" s="14">
        <f t="shared" ca="1" si="28"/>
        <v>0</v>
      </c>
      <c r="V325" s="14">
        <f t="shared" ca="1" si="29"/>
        <v>0</v>
      </c>
    </row>
    <row r="326" spans="1:22" x14ac:dyDescent="0.2">
      <c r="A326" s="5">
        <f t="shared" si="24"/>
        <v>319</v>
      </c>
      <c r="B326" s="23"/>
      <c r="C326" s="14">
        <v>0</v>
      </c>
      <c r="D326" s="14">
        <v>0</v>
      </c>
      <c r="E326" s="14">
        <v>0</v>
      </c>
      <c r="F326" s="14">
        <v>0</v>
      </c>
      <c r="G326" s="14">
        <v>0</v>
      </c>
      <c r="H326" s="23"/>
      <c r="I326" s="14">
        <v>0</v>
      </c>
      <c r="J326" s="14">
        <v>0</v>
      </c>
      <c r="K326" s="14">
        <v>0</v>
      </c>
      <c r="L326" s="14">
        <v>0</v>
      </c>
      <c r="M326" s="14">
        <v>0</v>
      </c>
      <c r="N326" s="23"/>
      <c r="O326" s="5">
        <f t="shared" si="25"/>
        <v>319</v>
      </c>
      <c r="P326" s="15">
        <f t="shared" ca="1" si="26"/>
        <v>0</v>
      </c>
      <c r="Q326" s="5">
        <f ca="1">IF(O326&gt;$D$2,0,IF($F$2=Choices!$A$2,IF(O326&gt;$E$2,OFFSET(LiborCurve!$A$1,O326,0)+$C$2,$B$2),$B$2))</f>
        <v>0</v>
      </c>
      <c r="R326" s="14">
        <f t="shared" ca="1" si="27"/>
        <v>0</v>
      </c>
      <c r="S326" s="14">
        <f>IF(O326&gt;$D$2,0,IF($G$2=Choices!$B$1,-PMT(Q326/12,$D$2-(O326-1),P326),0))</f>
        <v>0</v>
      </c>
      <c r="T326" s="14">
        <f ca="1">IF(AND($G$2=Choices!$B$2,O326=$D$2),P326,IF(AND($G$2=Choices!$B$2,O326&lt;$D$2),0,S326-R326))</f>
        <v>0</v>
      </c>
      <c r="U326" s="14">
        <f t="shared" ca="1" si="28"/>
        <v>0</v>
      </c>
      <c r="V326" s="14">
        <f t="shared" ca="1" si="29"/>
        <v>0</v>
      </c>
    </row>
    <row r="327" spans="1:22" x14ac:dyDescent="0.2">
      <c r="A327" s="5">
        <f t="shared" si="24"/>
        <v>320</v>
      </c>
      <c r="B327" s="23"/>
      <c r="C327" s="14">
        <v>0</v>
      </c>
      <c r="D327" s="14">
        <v>0</v>
      </c>
      <c r="E327" s="14">
        <v>0</v>
      </c>
      <c r="F327" s="14">
        <v>0</v>
      </c>
      <c r="G327" s="14">
        <v>0</v>
      </c>
      <c r="H327" s="23"/>
      <c r="I327" s="14">
        <v>0</v>
      </c>
      <c r="J327" s="14">
        <v>0</v>
      </c>
      <c r="K327" s="14">
        <v>0</v>
      </c>
      <c r="L327" s="14">
        <v>0</v>
      </c>
      <c r="M327" s="14">
        <v>0</v>
      </c>
      <c r="N327" s="23"/>
      <c r="O327" s="5">
        <f t="shared" si="25"/>
        <v>320</v>
      </c>
      <c r="P327" s="15">
        <f t="shared" ca="1" si="26"/>
        <v>0</v>
      </c>
      <c r="Q327" s="5">
        <f ca="1">IF(O327&gt;$D$2,0,IF($F$2=Choices!$A$2,IF(O327&gt;$E$2,OFFSET(LiborCurve!$A$1,O327,0)+$C$2,$B$2),$B$2))</f>
        <v>0</v>
      </c>
      <c r="R327" s="14">
        <f t="shared" ca="1" si="27"/>
        <v>0</v>
      </c>
      <c r="S327" s="14">
        <f>IF(O327&gt;$D$2,0,IF($G$2=Choices!$B$1,-PMT(Q327/12,$D$2-(O327-1),P327),0))</f>
        <v>0</v>
      </c>
      <c r="T327" s="14">
        <f ca="1">IF(AND($G$2=Choices!$B$2,O327=$D$2),P327,IF(AND($G$2=Choices!$B$2,O327&lt;$D$2),0,S327-R327))</f>
        <v>0</v>
      </c>
      <c r="U327" s="14">
        <f t="shared" ca="1" si="28"/>
        <v>0</v>
      </c>
      <c r="V327" s="14">
        <f t="shared" ca="1" si="29"/>
        <v>0</v>
      </c>
    </row>
    <row r="328" spans="1:22" x14ac:dyDescent="0.2">
      <c r="A328" s="5">
        <f t="shared" si="24"/>
        <v>321</v>
      </c>
      <c r="B328" s="23"/>
      <c r="C328" s="14">
        <v>0</v>
      </c>
      <c r="D328" s="14">
        <v>0</v>
      </c>
      <c r="E328" s="14">
        <v>0</v>
      </c>
      <c r="F328" s="14">
        <v>0</v>
      </c>
      <c r="G328" s="14">
        <v>0</v>
      </c>
      <c r="H328" s="23"/>
      <c r="I328" s="14">
        <v>0</v>
      </c>
      <c r="J328" s="14">
        <v>0</v>
      </c>
      <c r="K328" s="14">
        <v>0</v>
      </c>
      <c r="L328" s="14">
        <v>0</v>
      </c>
      <c r="M328" s="14">
        <v>0</v>
      </c>
      <c r="N328" s="23"/>
      <c r="O328" s="5">
        <f t="shared" si="25"/>
        <v>321</v>
      </c>
      <c r="P328" s="15">
        <f t="shared" ca="1" si="26"/>
        <v>0</v>
      </c>
      <c r="Q328" s="5">
        <f ca="1">IF(O328&gt;$D$2,0,IF($F$2=Choices!$A$2,IF(O328&gt;$E$2,OFFSET(LiborCurve!$A$1,O328,0)+$C$2,$B$2),$B$2))</f>
        <v>0</v>
      </c>
      <c r="R328" s="14">
        <f t="shared" ca="1" si="27"/>
        <v>0</v>
      </c>
      <c r="S328" s="14">
        <f>IF(O328&gt;$D$2,0,IF($G$2=Choices!$B$1,-PMT(Q328/12,$D$2-(O328-1),P328),0))</f>
        <v>0</v>
      </c>
      <c r="T328" s="14">
        <f ca="1">IF(AND($G$2=Choices!$B$2,O328=$D$2),P328,IF(AND($G$2=Choices!$B$2,O328&lt;$D$2),0,S328-R328))</f>
        <v>0</v>
      </c>
      <c r="U328" s="14">
        <f t="shared" ca="1" si="28"/>
        <v>0</v>
      </c>
      <c r="V328" s="14">
        <f t="shared" ca="1" si="29"/>
        <v>0</v>
      </c>
    </row>
    <row r="329" spans="1:22" x14ac:dyDescent="0.2">
      <c r="A329" s="5">
        <f t="shared" si="24"/>
        <v>322</v>
      </c>
      <c r="B329" s="23"/>
      <c r="C329" s="14">
        <v>0</v>
      </c>
      <c r="D329" s="14">
        <v>0</v>
      </c>
      <c r="E329" s="14">
        <v>0</v>
      </c>
      <c r="F329" s="14">
        <v>0</v>
      </c>
      <c r="G329" s="14">
        <v>0</v>
      </c>
      <c r="H329" s="23"/>
      <c r="I329" s="14">
        <v>0</v>
      </c>
      <c r="J329" s="14">
        <v>0</v>
      </c>
      <c r="K329" s="14">
        <v>0</v>
      </c>
      <c r="L329" s="14">
        <v>0</v>
      </c>
      <c r="M329" s="14">
        <v>0</v>
      </c>
      <c r="N329" s="23"/>
      <c r="O329" s="5">
        <f t="shared" si="25"/>
        <v>322</v>
      </c>
      <c r="P329" s="15">
        <f t="shared" ca="1" si="26"/>
        <v>0</v>
      </c>
      <c r="Q329" s="5">
        <f ca="1">IF(O329&gt;$D$2,0,IF($F$2=Choices!$A$2,IF(O329&gt;$E$2,OFFSET(LiborCurve!$A$1,O329,0)+$C$2,$B$2),$B$2))</f>
        <v>0</v>
      </c>
      <c r="R329" s="14">
        <f t="shared" ca="1" si="27"/>
        <v>0</v>
      </c>
      <c r="S329" s="14">
        <f>IF(O329&gt;$D$2,0,IF($G$2=Choices!$B$1,-PMT(Q329/12,$D$2-(O329-1),P329),0))</f>
        <v>0</v>
      </c>
      <c r="T329" s="14">
        <f ca="1">IF(AND($G$2=Choices!$B$2,O329=$D$2),P329,IF(AND($G$2=Choices!$B$2,O329&lt;$D$2),0,S329-R329))</f>
        <v>0</v>
      </c>
      <c r="U329" s="14">
        <f t="shared" ca="1" si="28"/>
        <v>0</v>
      </c>
      <c r="V329" s="14">
        <f t="shared" ca="1" si="29"/>
        <v>0</v>
      </c>
    </row>
    <row r="330" spans="1:22" x14ac:dyDescent="0.2">
      <c r="A330" s="5">
        <f t="shared" ref="A330:A367" si="30">A329+1</f>
        <v>323</v>
      </c>
      <c r="B330" s="23"/>
      <c r="C330" s="14">
        <v>0</v>
      </c>
      <c r="D330" s="14">
        <v>0</v>
      </c>
      <c r="E330" s="14">
        <v>0</v>
      </c>
      <c r="F330" s="14">
        <v>0</v>
      </c>
      <c r="G330" s="14">
        <v>0</v>
      </c>
      <c r="H330" s="23"/>
      <c r="I330" s="14">
        <v>0</v>
      </c>
      <c r="J330" s="14">
        <v>0</v>
      </c>
      <c r="K330" s="14">
        <v>0</v>
      </c>
      <c r="L330" s="14">
        <v>0</v>
      </c>
      <c r="M330" s="14">
        <v>0</v>
      </c>
      <c r="N330" s="23"/>
      <c r="O330" s="5">
        <f t="shared" ref="O330:O367" si="31">O329+1</f>
        <v>323</v>
      </c>
      <c r="P330" s="15">
        <f t="shared" ref="P330:P367" ca="1" si="32">V329</f>
        <v>0</v>
      </c>
      <c r="Q330" s="5">
        <f ca="1">IF(O330&gt;$D$2,0,IF($F$2=Choices!$A$2,IF(O330&gt;$E$2,OFFSET(LiborCurve!$A$1,O330,0)+$C$2,$B$2),$B$2))</f>
        <v>0</v>
      </c>
      <c r="R330" s="14">
        <f t="shared" ref="R330:R367" ca="1" si="33">P330*Q330/12</f>
        <v>0</v>
      </c>
      <c r="S330" s="14">
        <f>IF(O330&gt;$D$2,0,IF($G$2=Choices!$B$1,-PMT(Q330/12,$D$2-(O330-1),P330),0))</f>
        <v>0</v>
      </c>
      <c r="T330" s="14">
        <f ca="1">IF(AND($G$2=Choices!$B$2,O330=$D$2),P330,IF(AND($G$2=Choices!$B$2,O330&lt;$D$2),0,S330-R330))</f>
        <v>0</v>
      </c>
      <c r="U330" s="14">
        <f t="shared" ref="U330:U367" ca="1" si="34">R330+T330</f>
        <v>0</v>
      </c>
      <c r="V330" s="14">
        <f t="shared" ref="V330:V367" ca="1" si="35">P330-T330</f>
        <v>0</v>
      </c>
    </row>
    <row r="331" spans="1:22" x14ac:dyDescent="0.2">
      <c r="A331" s="5">
        <f t="shared" si="30"/>
        <v>324</v>
      </c>
      <c r="B331" s="23"/>
      <c r="C331" s="14">
        <v>0</v>
      </c>
      <c r="D331" s="14">
        <v>0</v>
      </c>
      <c r="E331" s="14">
        <v>0</v>
      </c>
      <c r="F331" s="14">
        <v>0</v>
      </c>
      <c r="G331" s="14">
        <v>0</v>
      </c>
      <c r="H331" s="23"/>
      <c r="I331" s="14">
        <v>0</v>
      </c>
      <c r="J331" s="14">
        <v>0</v>
      </c>
      <c r="K331" s="14">
        <v>0</v>
      </c>
      <c r="L331" s="14">
        <v>0</v>
      </c>
      <c r="M331" s="14">
        <v>0</v>
      </c>
      <c r="N331" s="23"/>
      <c r="O331" s="5">
        <f t="shared" si="31"/>
        <v>324</v>
      </c>
      <c r="P331" s="15">
        <f t="shared" ca="1" si="32"/>
        <v>0</v>
      </c>
      <c r="Q331" s="5">
        <f ca="1">IF(O331&gt;$D$2,0,IF($F$2=Choices!$A$2,IF(O331&gt;$E$2,OFFSET(LiborCurve!$A$1,O331,0)+$C$2,$B$2),$B$2))</f>
        <v>0</v>
      </c>
      <c r="R331" s="14">
        <f t="shared" ca="1" si="33"/>
        <v>0</v>
      </c>
      <c r="S331" s="14">
        <f>IF(O331&gt;$D$2,0,IF($G$2=Choices!$B$1,-PMT(Q331/12,$D$2-(O331-1),P331),0))</f>
        <v>0</v>
      </c>
      <c r="T331" s="14">
        <f ca="1">IF(AND($G$2=Choices!$B$2,O331=$D$2),P331,IF(AND($G$2=Choices!$B$2,O331&lt;$D$2),0,S331-R331))</f>
        <v>0</v>
      </c>
      <c r="U331" s="14">
        <f t="shared" ca="1" si="34"/>
        <v>0</v>
      </c>
      <c r="V331" s="14">
        <f t="shared" ca="1" si="35"/>
        <v>0</v>
      </c>
    </row>
    <row r="332" spans="1:22" x14ac:dyDescent="0.2">
      <c r="A332" s="5">
        <f t="shared" si="30"/>
        <v>325</v>
      </c>
      <c r="B332" s="23"/>
      <c r="C332" s="14">
        <v>0</v>
      </c>
      <c r="D332" s="14">
        <v>0</v>
      </c>
      <c r="E332" s="14">
        <v>0</v>
      </c>
      <c r="F332" s="14">
        <v>0</v>
      </c>
      <c r="G332" s="14">
        <v>0</v>
      </c>
      <c r="H332" s="23"/>
      <c r="I332" s="14">
        <v>0</v>
      </c>
      <c r="J332" s="14">
        <v>0</v>
      </c>
      <c r="K332" s="14">
        <v>0</v>
      </c>
      <c r="L332" s="14">
        <v>0</v>
      </c>
      <c r="M332" s="14">
        <v>0</v>
      </c>
      <c r="N332" s="23"/>
      <c r="O332" s="5">
        <f t="shared" si="31"/>
        <v>325</v>
      </c>
      <c r="P332" s="15">
        <f t="shared" ca="1" si="32"/>
        <v>0</v>
      </c>
      <c r="Q332" s="5">
        <f ca="1">IF(O332&gt;$D$2,0,IF($F$2=Choices!$A$2,IF(O332&gt;$E$2,OFFSET(LiborCurve!$A$1,O332,0)+$C$2,$B$2),$B$2))</f>
        <v>0</v>
      </c>
      <c r="R332" s="14">
        <f t="shared" ca="1" si="33"/>
        <v>0</v>
      </c>
      <c r="S332" s="14">
        <f>IF(O332&gt;$D$2,0,IF($G$2=Choices!$B$1,-PMT(Q332/12,$D$2-(O332-1),P332),0))</f>
        <v>0</v>
      </c>
      <c r="T332" s="14">
        <f ca="1">IF(AND($G$2=Choices!$B$2,O332=$D$2),P332,IF(AND($G$2=Choices!$B$2,O332&lt;$D$2),0,S332-R332))</f>
        <v>0</v>
      </c>
      <c r="U332" s="14">
        <f t="shared" ca="1" si="34"/>
        <v>0</v>
      </c>
      <c r="V332" s="14">
        <f t="shared" ca="1" si="35"/>
        <v>0</v>
      </c>
    </row>
    <row r="333" spans="1:22" x14ac:dyDescent="0.2">
      <c r="A333" s="5">
        <f t="shared" si="30"/>
        <v>326</v>
      </c>
      <c r="B333" s="23"/>
      <c r="C333" s="14">
        <v>0</v>
      </c>
      <c r="D333" s="14">
        <v>0</v>
      </c>
      <c r="E333" s="14">
        <v>0</v>
      </c>
      <c r="F333" s="14">
        <v>0</v>
      </c>
      <c r="G333" s="14">
        <v>0</v>
      </c>
      <c r="H333" s="23"/>
      <c r="I333" s="14">
        <v>0</v>
      </c>
      <c r="J333" s="14">
        <v>0</v>
      </c>
      <c r="K333" s="14">
        <v>0</v>
      </c>
      <c r="L333" s="14">
        <v>0</v>
      </c>
      <c r="M333" s="14">
        <v>0</v>
      </c>
      <c r="N333" s="23"/>
      <c r="O333" s="5">
        <f t="shared" si="31"/>
        <v>326</v>
      </c>
      <c r="P333" s="15">
        <f t="shared" ca="1" si="32"/>
        <v>0</v>
      </c>
      <c r="Q333" s="5">
        <f ca="1">IF(O333&gt;$D$2,0,IF($F$2=Choices!$A$2,IF(O333&gt;$E$2,OFFSET(LiborCurve!$A$1,O333,0)+$C$2,$B$2),$B$2))</f>
        <v>0</v>
      </c>
      <c r="R333" s="14">
        <f t="shared" ca="1" si="33"/>
        <v>0</v>
      </c>
      <c r="S333" s="14">
        <f>IF(O333&gt;$D$2,0,IF($G$2=Choices!$B$1,-PMT(Q333/12,$D$2-(O333-1),P333),0))</f>
        <v>0</v>
      </c>
      <c r="T333" s="14">
        <f ca="1">IF(AND($G$2=Choices!$B$2,O333=$D$2),P333,IF(AND($G$2=Choices!$B$2,O333&lt;$D$2),0,S333-R333))</f>
        <v>0</v>
      </c>
      <c r="U333" s="14">
        <f t="shared" ca="1" si="34"/>
        <v>0</v>
      </c>
      <c r="V333" s="14">
        <f t="shared" ca="1" si="35"/>
        <v>0</v>
      </c>
    </row>
    <row r="334" spans="1:22" x14ac:dyDescent="0.2">
      <c r="A334" s="5">
        <f t="shared" si="30"/>
        <v>327</v>
      </c>
      <c r="B334" s="23"/>
      <c r="C334" s="14">
        <v>0</v>
      </c>
      <c r="D334" s="14">
        <v>0</v>
      </c>
      <c r="E334" s="14">
        <v>0</v>
      </c>
      <c r="F334" s="14">
        <v>0</v>
      </c>
      <c r="G334" s="14">
        <v>0</v>
      </c>
      <c r="H334" s="23"/>
      <c r="I334" s="14">
        <v>0</v>
      </c>
      <c r="J334" s="14">
        <v>0</v>
      </c>
      <c r="K334" s="14">
        <v>0</v>
      </c>
      <c r="L334" s="14">
        <v>0</v>
      </c>
      <c r="M334" s="14">
        <v>0</v>
      </c>
      <c r="N334" s="23"/>
      <c r="O334" s="5">
        <f t="shared" si="31"/>
        <v>327</v>
      </c>
      <c r="P334" s="15">
        <f t="shared" ca="1" si="32"/>
        <v>0</v>
      </c>
      <c r="Q334" s="5">
        <f ca="1">IF(O334&gt;$D$2,0,IF($F$2=Choices!$A$2,IF(O334&gt;$E$2,OFFSET(LiborCurve!$A$1,O334,0)+$C$2,$B$2),$B$2))</f>
        <v>0</v>
      </c>
      <c r="R334" s="14">
        <f t="shared" ca="1" si="33"/>
        <v>0</v>
      </c>
      <c r="S334" s="14">
        <f>IF(O334&gt;$D$2,0,IF($G$2=Choices!$B$1,-PMT(Q334/12,$D$2-(O334-1),P334),0))</f>
        <v>0</v>
      </c>
      <c r="T334" s="14">
        <f ca="1">IF(AND($G$2=Choices!$B$2,O334=$D$2),P334,IF(AND($G$2=Choices!$B$2,O334&lt;$D$2),0,S334-R334))</f>
        <v>0</v>
      </c>
      <c r="U334" s="14">
        <f t="shared" ca="1" si="34"/>
        <v>0</v>
      </c>
      <c r="V334" s="14">
        <f t="shared" ca="1" si="35"/>
        <v>0</v>
      </c>
    </row>
    <row r="335" spans="1:22" x14ac:dyDescent="0.2">
      <c r="A335" s="5">
        <f t="shared" si="30"/>
        <v>328</v>
      </c>
      <c r="B335" s="23"/>
      <c r="C335" s="14">
        <v>0</v>
      </c>
      <c r="D335" s="14">
        <v>0</v>
      </c>
      <c r="E335" s="14">
        <v>0</v>
      </c>
      <c r="F335" s="14">
        <v>0</v>
      </c>
      <c r="G335" s="14">
        <v>0</v>
      </c>
      <c r="H335" s="23"/>
      <c r="I335" s="14">
        <v>0</v>
      </c>
      <c r="J335" s="14">
        <v>0</v>
      </c>
      <c r="K335" s="14">
        <v>0</v>
      </c>
      <c r="L335" s="14">
        <v>0</v>
      </c>
      <c r="M335" s="14">
        <v>0</v>
      </c>
      <c r="N335" s="23"/>
      <c r="O335" s="5">
        <f t="shared" si="31"/>
        <v>328</v>
      </c>
      <c r="P335" s="15">
        <f t="shared" ca="1" si="32"/>
        <v>0</v>
      </c>
      <c r="Q335" s="5">
        <f ca="1">IF(O335&gt;$D$2,0,IF($F$2=Choices!$A$2,IF(O335&gt;$E$2,OFFSET(LiborCurve!$A$1,O335,0)+$C$2,$B$2),$B$2))</f>
        <v>0</v>
      </c>
      <c r="R335" s="14">
        <f t="shared" ca="1" si="33"/>
        <v>0</v>
      </c>
      <c r="S335" s="14">
        <f>IF(O335&gt;$D$2,0,IF($G$2=Choices!$B$1,-PMT(Q335/12,$D$2-(O335-1),P335),0))</f>
        <v>0</v>
      </c>
      <c r="T335" s="14">
        <f ca="1">IF(AND($G$2=Choices!$B$2,O335=$D$2),P335,IF(AND($G$2=Choices!$B$2,O335&lt;$D$2),0,S335-R335))</f>
        <v>0</v>
      </c>
      <c r="U335" s="14">
        <f t="shared" ca="1" si="34"/>
        <v>0</v>
      </c>
      <c r="V335" s="14">
        <f t="shared" ca="1" si="35"/>
        <v>0</v>
      </c>
    </row>
    <row r="336" spans="1:22" x14ac:dyDescent="0.2">
      <c r="A336" s="5">
        <f t="shared" si="30"/>
        <v>329</v>
      </c>
      <c r="B336" s="23"/>
      <c r="C336" s="14">
        <v>0</v>
      </c>
      <c r="D336" s="14">
        <v>0</v>
      </c>
      <c r="E336" s="14">
        <v>0</v>
      </c>
      <c r="F336" s="14">
        <v>0</v>
      </c>
      <c r="G336" s="14">
        <v>0</v>
      </c>
      <c r="H336" s="23"/>
      <c r="I336" s="14">
        <v>0</v>
      </c>
      <c r="J336" s="14">
        <v>0</v>
      </c>
      <c r="K336" s="14">
        <v>0</v>
      </c>
      <c r="L336" s="14">
        <v>0</v>
      </c>
      <c r="M336" s="14">
        <v>0</v>
      </c>
      <c r="N336" s="23"/>
      <c r="O336" s="5">
        <f t="shared" si="31"/>
        <v>329</v>
      </c>
      <c r="P336" s="15">
        <f t="shared" ca="1" si="32"/>
        <v>0</v>
      </c>
      <c r="Q336" s="5">
        <f ca="1">IF(O336&gt;$D$2,0,IF($F$2=Choices!$A$2,IF(O336&gt;$E$2,OFFSET(LiborCurve!$A$1,O336,0)+$C$2,$B$2),$B$2))</f>
        <v>0</v>
      </c>
      <c r="R336" s="14">
        <f t="shared" ca="1" si="33"/>
        <v>0</v>
      </c>
      <c r="S336" s="14">
        <f>IF(O336&gt;$D$2,0,IF($G$2=Choices!$B$1,-PMT(Q336/12,$D$2-(O336-1),P336),0))</f>
        <v>0</v>
      </c>
      <c r="T336" s="14">
        <f ca="1">IF(AND($G$2=Choices!$B$2,O336=$D$2),P336,IF(AND($G$2=Choices!$B$2,O336&lt;$D$2),0,S336-R336))</f>
        <v>0</v>
      </c>
      <c r="U336" s="14">
        <f t="shared" ca="1" si="34"/>
        <v>0</v>
      </c>
      <c r="V336" s="14">
        <f t="shared" ca="1" si="35"/>
        <v>0</v>
      </c>
    </row>
    <row r="337" spans="1:22" x14ac:dyDescent="0.2">
      <c r="A337" s="5">
        <f t="shared" si="30"/>
        <v>330</v>
      </c>
      <c r="B337" s="23"/>
      <c r="C337" s="14">
        <v>0</v>
      </c>
      <c r="D337" s="14">
        <v>0</v>
      </c>
      <c r="E337" s="14">
        <v>0</v>
      </c>
      <c r="F337" s="14">
        <v>0</v>
      </c>
      <c r="G337" s="14">
        <v>0</v>
      </c>
      <c r="H337" s="23"/>
      <c r="I337" s="14">
        <v>0</v>
      </c>
      <c r="J337" s="14">
        <v>0</v>
      </c>
      <c r="K337" s="14">
        <v>0</v>
      </c>
      <c r="L337" s="14">
        <v>0</v>
      </c>
      <c r="M337" s="14">
        <v>0</v>
      </c>
      <c r="N337" s="23"/>
      <c r="O337" s="5">
        <f t="shared" si="31"/>
        <v>330</v>
      </c>
      <c r="P337" s="15">
        <f t="shared" ca="1" si="32"/>
        <v>0</v>
      </c>
      <c r="Q337" s="5">
        <f ca="1">IF(O337&gt;$D$2,0,IF($F$2=Choices!$A$2,IF(O337&gt;$E$2,OFFSET(LiborCurve!$A$1,O337,0)+$C$2,$B$2),$B$2))</f>
        <v>0</v>
      </c>
      <c r="R337" s="14">
        <f t="shared" ca="1" si="33"/>
        <v>0</v>
      </c>
      <c r="S337" s="14">
        <f>IF(O337&gt;$D$2,0,IF($G$2=Choices!$B$1,-PMT(Q337/12,$D$2-(O337-1),P337),0))</f>
        <v>0</v>
      </c>
      <c r="T337" s="14">
        <f ca="1">IF(AND($G$2=Choices!$B$2,O337=$D$2),P337,IF(AND($G$2=Choices!$B$2,O337&lt;$D$2),0,S337-R337))</f>
        <v>0</v>
      </c>
      <c r="U337" s="14">
        <f t="shared" ca="1" si="34"/>
        <v>0</v>
      </c>
      <c r="V337" s="14">
        <f t="shared" ca="1" si="35"/>
        <v>0</v>
      </c>
    </row>
    <row r="338" spans="1:22" x14ac:dyDescent="0.2">
      <c r="A338" s="5">
        <f t="shared" si="30"/>
        <v>331</v>
      </c>
      <c r="B338" s="23"/>
      <c r="C338" s="14">
        <v>0</v>
      </c>
      <c r="D338" s="14">
        <v>0</v>
      </c>
      <c r="E338" s="14">
        <v>0</v>
      </c>
      <c r="F338" s="14">
        <v>0</v>
      </c>
      <c r="G338" s="14">
        <v>0</v>
      </c>
      <c r="H338" s="23"/>
      <c r="I338" s="14">
        <v>0</v>
      </c>
      <c r="J338" s="14">
        <v>0</v>
      </c>
      <c r="K338" s="14">
        <v>0</v>
      </c>
      <c r="L338" s="14">
        <v>0</v>
      </c>
      <c r="M338" s="14">
        <v>0</v>
      </c>
      <c r="N338" s="23"/>
      <c r="O338" s="5">
        <f t="shared" si="31"/>
        <v>331</v>
      </c>
      <c r="P338" s="15">
        <f t="shared" ca="1" si="32"/>
        <v>0</v>
      </c>
      <c r="Q338" s="5">
        <f ca="1">IF(O338&gt;$D$2,0,IF($F$2=Choices!$A$2,IF(O338&gt;$E$2,OFFSET(LiborCurve!$A$1,O338,0)+$C$2,$B$2),$B$2))</f>
        <v>0</v>
      </c>
      <c r="R338" s="14">
        <f t="shared" ca="1" si="33"/>
        <v>0</v>
      </c>
      <c r="S338" s="14">
        <f>IF(O338&gt;$D$2,0,IF($G$2=Choices!$B$1,-PMT(Q338/12,$D$2-(O338-1),P338),0))</f>
        <v>0</v>
      </c>
      <c r="T338" s="14">
        <f ca="1">IF(AND($G$2=Choices!$B$2,O338=$D$2),P338,IF(AND($G$2=Choices!$B$2,O338&lt;$D$2),0,S338-R338))</f>
        <v>0</v>
      </c>
      <c r="U338" s="14">
        <f t="shared" ca="1" si="34"/>
        <v>0</v>
      </c>
      <c r="V338" s="14">
        <f t="shared" ca="1" si="35"/>
        <v>0</v>
      </c>
    </row>
    <row r="339" spans="1:22" x14ac:dyDescent="0.2">
      <c r="A339" s="5">
        <f t="shared" si="30"/>
        <v>332</v>
      </c>
      <c r="B339" s="23"/>
      <c r="C339" s="14">
        <v>0</v>
      </c>
      <c r="D339" s="14">
        <v>0</v>
      </c>
      <c r="E339" s="14">
        <v>0</v>
      </c>
      <c r="F339" s="14">
        <v>0</v>
      </c>
      <c r="G339" s="14">
        <v>0</v>
      </c>
      <c r="H339" s="23"/>
      <c r="I339" s="14">
        <v>0</v>
      </c>
      <c r="J339" s="14">
        <v>0</v>
      </c>
      <c r="K339" s="14">
        <v>0</v>
      </c>
      <c r="L339" s="14">
        <v>0</v>
      </c>
      <c r="M339" s="14">
        <v>0</v>
      </c>
      <c r="N339" s="23"/>
      <c r="O339" s="5">
        <f t="shared" si="31"/>
        <v>332</v>
      </c>
      <c r="P339" s="15">
        <f t="shared" ca="1" si="32"/>
        <v>0</v>
      </c>
      <c r="Q339" s="5">
        <f ca="1">IF(O339&gt;$D$2,0,IF($F$2=Choices!$A$2,IF(O339&gt;$E$2,OFFSET(LiborCurve!$A$1,O339,0)+$C$2,$B$2),$B$2))</f>
        <v>0</v>
      </c>
      <c r="R339" s="14">
        <f t="shared" ca="1" si="33"/>
        <v>0</v>
      </c>
      <c r="S339" s="14">
        <f>IF(O339&gt;$D$2,0,IF($G$2=Choices!$B$1,-PMT(Q339/12,$D$2-(O339-1),P339),0))</f>
        <v>0</v>
      </c>
      <c r="T339" s="14">
        <f ca="1">IF(AND($G$2=Choices!$B$2,O339=$D$2),P339,IF(AND($G$2=Choices!$B$2,O339&lt;$D$2),0,S339-R339))</f>
        <v>0</v>
      </c>
      <c r="U339" s="14">
        <f t="shared" ca="1" si="34"/>
        <v>0</v>
      </c>
      <c r="V339" s="14">
        <f t="shared" ca="1" si="35"/>
        <v>0</v>
      </c>
    </row>
    <row r="340" spans="1:22" x14ac:dyDescent="0.2">
      <c r="A340" s="5">
        <f t="shared" si="30"/>
        <v>333</v>
      </c>
      <c r="B340" s="23"/>
      <c r="C340" s="14">
        <v>0</v>
      </c>
      <c r="D340" s="14">
        <v>0</v>
      </c>
      <c r="E340" s="14">
        <v>0</v>
      </c>
      <c r="F340" s="14">
        <v>0</v>
      </c>
      <c r="G340" s="14">
        <v>0</v>
      </c>
      <c r="H340" s="23"/>
      <c r="I340" s="14">
        <v>0</v>
      </c>
      <c r="J340" s="14">
        <v>0</v>
      </c>
      <c r="K340" s="14">
        <v>0</v>
      </c>
      <c r="L340" s="14">
        <v>0</v>
      </c>
      <c r="M340" s="14">
        <v>0</v>
      </c>
      <c r="N340" s="23"/>
      <c r="O340" s="5">
        <f t="shared" si="31"/>
        <v>333</v>
      </c>
      <c r="P340" s="15">
        <f t="shared" ca="1" si="32"/>
        <v>0</v>
      </c>
      <c r="Q340" s="5">
        <f ca="1">IF(O340&gt;$D$2,0,IF($F$2=Choices!$A$2,IF(O340&gt;$E$2,OFFSET(LiborCurve!$A$1,O340,0)+$C$2,$B$2),$B$2))</f>
        <v>0</v>
      </c>
      <c r="R340" s="14">
        <f t="shared" ca="1" si="33"/>
        <v>0</v>
      </c>
      <c r="S340" s="14">
        <f>IF(O340&gt;$D$2,0,IF($G$2=Choices!$B$1,-PMT(Q340/12,$D$2-(O340-1),P340),0))</f>
        <v>0</v>
      </c>
      <c r="T340" s="14">
        <f ca="1">IF(AND($G$2=Choices!$B$2,O340=$D$2),P340,IF(AND($G$2=Choices!$B$2,O340&lt;$D$2),0,S340-R340))</f>
        <v>0</v>
      </c>
      <c r="U340" s="14">
        <f t="shared" ca="1" si="34"/>
        <v>0</v>
      </c>
      <c r="V340" s="14">
        <f t="shared" ca="1" si="35"/>
        <v>0</v>
      </c>
    </row>
    <row r="341" spans="1:22" x14ac:dyDescent="0.2">
      <c r="A341" s="5">
        <f t="shared" si="30"/>
        <v>334</v>
      </c>
      <c r="B341" s="23"/>
      <c r="C341" s="14">
        <v>0</v>
      </c>
      <c r="D341" s="14">
        <v>0</v>
      </c>
      <c r="E341" s="14">
        <v>0</v>
      </c>
      <c r="F341" s="14">
        <v>0</v>
      </c>
      <c r="G341" s="14">
        <v>0</v>
      </c>
      <c r="H341" s="23"/>
      <c r="I341" s="14">
        <v>0</v>
      </c>
      <c r="J341" s="14">
        <v>0</v>
      </c>
      <c r="K341" s="14">
        <v>0</v>
      </c>
      <c r="L341" s="14">
        <v>0</v>
      </c>
      <c r="M341" s="14">
        <v>0</v>
      </c>
      <c r="N341" s="23"/>
      <c r="O341" s="5">
        <f t="shared" si="31"/>
        <v>334</v>
      </c>
      <c r="P341" s="15">
        <f t="shared" ca="1" si="32"/>
        <v>0</v>
      </c>
      <c r="Q341" s="5">
        <f ca="1">IF(O341&gt;$D$2,0,IF($F$2=Choices!$A$2,IF(O341&gt;$E$2,OFFSET(LiborCurve!$A$1,O341,0)+$C$2,$B$2),$B$2))</f>
        <v>0</v>
      </c>
      <c r="R341" s="14">
        <f t="shared" ca="1" si="33"/>
        <v>0</v>
      </c>
      <c r="S341" s="14">
        <f>IF(O341&gt;$D$2,0,IF($G$2=Choices!$B$1,-PMT(Q341/12,$D$2-(O341-1),P341),0))</f>
        <v>0</v>
      </c>
      <c r="T341" s="14">
        <f ca="1">IF(AND($G$2=Choices!$B$2,O341=$D$2),P341,IF(AND($G$2=Choices!$B$2,O341&lt;$D$2),0,S341-R341))</f>
        <v>0</v>
      </c>
      <c r="U341" s="14">
        <f t="shared" ca="1" si="34"/>
        <v>0</v>
      </c>
      <c r="V341" s="14">
        <f t="shared" ca="1" si="35"/>
        <v>0</v>
      </c>
    </row>
    <row r="342" spans="1:22" x14ac:dyDescent="0.2">
      <c r="A342" s="5">
        <f t="shared" si="30"/>
        <v>335</v>
      </c>
      <c r="B342" s="23"/>
      <c r="C342" s="14">
        <v>0</v>
      </c>
      <c r="D342" s="14">
        <v>0</v>
      </c>
      <c r="E342" s="14">
        <v>0</v>
      </c>
      <c r="F342" s="14">
        <v>0</v>
      </c>
      <c r="G342" s="14">
        <v>0</v>
      </c>
      <c r="H342" s="23"/>
      <c r="I342" s="14">
        <v>0</v>
      </c>
      <c r="J342" s="14">
        <v>0</v>
      </c>
      <c r="K342" s="14">
        <v>0</v>
      </c>
      <c r="L342" s="14">
        <v>0</v>
      </c>
      <c r="M342" s="14">
        <v>0</v>
      </c>
      <c r="N342" s="23"/>
      <c r="O342" s="5">
        <f t="shared" si="31"/>
        <v>335</v>
      </c>
      <c r="P342" s="15">
        <f t="shared" ca="1" si="32"/>
        <v>0</v>
      </c>
      <c r="Q342" s="5">
        <f ca="1">IF(O342&gt;$D$2,0,IF($F$2=Choices!$A$2,IF(O342&gt;$E$2,OFFSET(LiborCurve!$A$1,O342,0)+$C$2,$B$2),$B$2))</f>
        <v>0</v>
      </c>
      <c r="R342" s="14">
        <f t="shared" ca="1" si="33"/>
        <v>0</v>
      </c>
      <c r="S342" s="14">
        <f>IF(O342&gt;$D$2,0,IF($G$2=Choices!$B$1,-PMT(Q342/12,$D$2-(O342-1),P342),0))</f>
        <v>0</v>
      </c>
      <c r="T342" s="14">
        <f ca="1">IF(AND($G$2=Choices!$B$2,O342=$D$2),P342,IF(AND($G$2=Choices!$B$2,O342&lt;$D$2),0,S342-R342))</f>
        <v>0</v>
      </c>
      <c r="U342" s="14">
        <f t="shared" ca="1" si="34"/>
        <v>0</v>
      </c>
      <c r="V342" s="14">
        <f t="shared" ca="1" si="35"/>
        <v>0</v>
      </c>
    </row>
    <row r="343" spans="1:22" x14ac:dyDescent="0.2">
      <c r="A343" s="5">
        <f t="shared" si="30"/>
        <v>336</v>
      </c>
      <c r="B343" s="23"/>
      <c r="C343" s="14">
        <v>0</v>
      </c>
      <c r="D343" s="14">
        <v>0</v>
      </c>
      <c r="E343" s="14">
        <v>0</v>
      </c>
      <c r="F343" s="14">
        <v>0</v>
      </c>
      <c r="G343" s="14">
        <v>0</v>
      </c>
      <c r="H343" s="23"/>
      <c r="I343" s="14">
        <v>0</v>
      </c>
      <c r="J343" s="14">
        <v>0</v>
      </c>
      <c r="K343" s="14">
        <v>0</v>
      </c>
      <c r="L343" s="14">
        <v>0</v>
      </c>
      <c r="M343" s="14">
        <v>0</v>
      </c>
      <c r="N343" s="23"/>
      <c r="O343" s="5">
        <f t="shared" si="31"/>
        <v>336</v>
      </c>
      <c r="P343" s="15">
        <f t="shared" ca="1" si="32"/>
        <v>0</v>
      </c>
      <c r="Q343" s="5">
        <f ca="1">IF(O343&gt;$D$2,0,IF($F$2=Choices!$A$2,IF(O343&gt;$E$2,OFFSET(LiborCurve!$A$1,O343,0)+$C$2,$B$2),$B$2))</f>
        <v>0</v>
      </c>
      <c r="R343" s="14">
        <f t="shared" ca="1" si="33"/>
        <v>0</v>
      </c>
      <c r="S343" s="14">
        <f>IF(O343&gt;$D$2,0,IF($G$2=Choices!$B$1,-PMT(Q343/12,$D$2-(O343-1),P343),0))</f>
        <v>0</v>
      </c>
      <c r="T343" s="14">
        <f ca="1">IF(AND($G$2=Choices!$B$2,O343=$D$2),P343,IF(AND($G$2=Choices!$B$2,O343&lt;$D$2),0,S343-R343))</f>
        <v>0</v>
      </c>
      <c r="U343" s="14">
        <f t="shared" ca="1" si="34"/>
        <v>0</v>
      </c>
      <c r="V343" s="14">
        <f t="shared" ca="1" si="35"/>
        <v>0</v>
      </c>
    </row>
    <row r="344" spans="1:22" x14ac:dyDescent="0.2">
      <c r="A344" s="5">
        <f t="shared" si="30"/>
        <v>337</v>
      </c>
      <c r="B344" s="23"/>
      <c r="C344" s="14">
        <v>0</v>
      </c>
      <c r="D344" s="14">
        <v>0</v>
      </c>
      <c r="E344" s="14">
        <v>0</v>
      </c>
      <c r="F344" s="14">
        <v>0</v>
      </c>
      <c r="G344" s="14">
        <v>0</v>
      </c>
      <c r="H344" s="23"/>
      <c r="I344" s="14">
        <v>0</v>
      </c>
      <c r="J344" s="14">
        <v>0</v>
      </c>
      <c r="K344" s="14">
        <v>0</v>
      </c>
      <c r="L344" s="14">
        <v>0</v>
      </c>
      <c r="M344" s="14">
        <v>0</v>
      </c>
      <c r="N344" s="23"/>
      <c r="O344" s="5">
        <f t="shared" si="31"/>
        <v>337</v>
      </c>
      <c r="P344" s="15">
        <f t="shared" ca="1" si="32"/>
        <v>0</v>
      </c>
      <c r="Q344" s="5">
        <f ca="1">IF(O344&gt;$D$2,0,IF($F$2=Choices!$A$2,IF(O344&gt;$E$2,OFFSET(LiborCurve!$A$1,O344,0)+$C$2,$B$2),$B$2))</f>
        <v>0</v>
      </c>
      <c r="R344" s="14">
        <f t="shared" ca="1" si="33"/>
        <v>0</v>
      </c>
      <c r="S344" s="14">
        <f>IF(O344&gt;$D$2,0,IF($G$2=Choices!$B$1,-PMT(Q344/12,$D$2-(O344-1),P344),0))</f>
        <v>0</v>
      </c>
      <c r="T344" s="14">
        <f ca="1">IF(AND($G$2=Choices!$B$2,O344=$D$2),P344,IF(AND($G$2=Choices!$B$2,O344&lt;$D$2),0,S344-R344))</f>
        <v>0</v>
      </c>
      <c r="U344" s="14">
        <f t="shared" ca="1" si="34"/>
        <v>0</v>
      </c>
      <c r="V344" s="14">
        <f t="shared" ca="1" si="35"/>
        <v>0</v>
      </c>
    </row>
    <row r="345" spans="1:22" x14ac:dyDescent="0.2">
      <c r="A345" s="5">
        <f t="shared" si="30"/>
        <v>338</v>
      </c>
      <c r="B345" s="23"/>
      <c r="C345" s="14">
        <v>0</v>
      </c>
      <c r="D345" s="14">
        <v>0</v>
      </c>
      <c r="E345" s="14">
        <v>0</v>
      </c>
      <c r="F345" s="14">
        <v>0</v>
      </c>
      <c r="G345" s="14">
        <v>0</v>
      </c>
      <c r="H345" s="23"/>
      <c r="I345" s="14">
        <v>0</v>
      </c>
      <c r="J345" s="14">
        <v>0</v>
      </c>
      <c r="K345" s="14">
        <v>0</v>
      </c>
      <c r="L345" s="14">
        <v>0</v>
      </c>
      <c r="M345" s="14">
        <v>0</v>
      </c>
      <c r="N345" s="23"/>
      <c r="O345" s="5">
        <f t="shared" si="31"/>
        <v>338</v>
      </c>
      <c r="P345" s="15">
        <f t="shared" ca="1" si="32"/>
        <v>0</v>
      </c>
      <c r="Q345" s="5">
        <f ca="1">IF(O345&gt;$D$2,0,IF($F$2=Choices!$A$2,IF(O345&gt;$E$2,OFFSET(LiborCurve!$A$1,O345,0)+$C$2,$B$2),$B$2))</f>
        <v>0</v>
      </c>
      <c r="R345" s="14">
        <f t="shared" ca="1" si="33"/>
        <v>0</v>
      </c>
      <c r="S345" s="14">
        <f>IF(O345&gt;$D$2,0,IF($G$2=Choices!$B$1,-PMT(Q345/12,$D$2-(O345-1),P345),0))</f>
        <v>0</v>
      </c>
      <c r="T345" s="14">
        <f ca="1">IF(AND($G$2=Choices!$B$2,O345=$D$2),P345,IF(AND($G$2=Choices!$B$2,O345&lt;$D$2),0,S345-R345))</f>
        <v>0</v>
      </c>
      <c r="U345" s="14">
        <f t="shared" ca="1" si="34"/>
        <v>0</v>
      </c>
      <c r="V345" s="14">
        <f t="shared" ca="1" si="35"/>
        <v>0</v>
      </c>
    </row>
    <row r="346" spans="1:22" x14ac:dyDescent="0.2">
      <c r="A346" s="5">
        <f t="shared" si="30"/>
        <v>339</v>
      </c>
      <c r="B346" s="23"/>
      <c r="C346" s="14">
        <v>0</v>
      </c>
      <c r="D346" s="14">
        <v>0</v>
      </c>
      <c r="E346" s="14">
        <v>0</v>
      </c>
      <c r="F346" s="14">
        <v>0</v>
      </c>
      <c r="G346" s="14">
        <v>0</v>
      </c>
      <c r="H346" s="23"/>
      <c r="I346" s="14">
        <v>0</v>
      </c>
      <c r="J346" s="14">
        <v>0</v>
      </c>
      <c r="K346" s="14">
        <v>0</v>
      </c>
      <c r="L346" s="14">
        <v>0</v>
      </c>
      <c r="M346" s="14">
        <v>0</v>
      </c>
      <c r="N346" s="23"/>
      <c r="O346" s="5">
        <f t="shared" si="31"/>
        <v>339</v>
      </c>
      <c r="P346" s="15">
        <f t="shared" ca="1" si="32"/>
        <v>0</v>
      </c>
      <c r="Q346" s="5">
        <f ca="1">IF(O346&gt;$D$2,0,IF($F$2=Choices!$A$2,IF(O346&gt;$E$2,OFFSET(LiborCurve!$A$1,O346,0)+$C$2,$B$2),$B$2))</f>
        <v>0</v>
      </c>
      <c r="R346" s="14">
        <f t="shared" ca="1" si="33"/>
        <v>0</v>
      </c>
      <c r="S346" s="14">
        <f>IF(O346&gt;$D$2,0,IF($G$2=Choices!$B$1,-PMT(Q346/12,$D$2-(O346-1),P346),0))</f>
        <v>0</v>
      </c>
      <c r="T346" s="14">
        <f ca="1">IF(AND($G$2=Choices!$B$2,O346=$D$2),P346,IF(AND($G$2=Choices!$B$2,O346&lt;$D$2),0,S346-R346))</f>
        <v>0</v>
      </c>
      <c r="U346" s="14">
        <f t="shared" ca="1" si="34"/>
        <v>0</v>
      </c>
      <c r="V346" s="14">
        <f t="shared" ca="1" si="35"/>
        <v>0</v>
      </c>
    </row>
    <row r="347" spans="1:22" x14ac:dyDescent="0.2">
      <c r="A347" s="5">
        <f t="shared" si="30"/>
        <v>340</v>
      </c>
      <c r="B347" s="23"/>
      <c r="C347" s="14">
        <v>0</v>
      </c>
      <c r="D347" s="14">
        <v>0</v>
      </c>
      <c r="E347" s="14">
        <v>0</v>
      </c>
      <c r="F347" s="14">
        <v>0</v>
      </c>
      <c r="G347" s="14">
        <v>0</v>
      </c>
      <c r="H347" s="23"/>
      <c r="I347" s="14">
        <v>0</v>
      </c>
      <c r="J347" s="14">
        <v>0</v>
      </c>
      <c r="K347" s="14">
        <v>0</v>
      </c>
      <c r="L347" s="14">
        <v>0</v>
      </c>
      <c r="M347" s="14">
        <v>0</v>
      </c>
      <c r="N347" s="23"/>
      <c r="O347" s="5">
        <f t="shared" si="31"/>
        <v>340</v>
      </c>
      <c r="P347" s="15">
        <f t="shared" ca="1" si="32"/>
        <v>0</v>
      </c>
      <c r="Q347" s="5">
        <f ca="1">IF(O347&gt;$D$2,0,IF($F$2=Choices!$A$2,IF(O347&gt;$E$2,OFFSET(LiborCurve!$A$1,O347,0)+$C$2,$B$2),$B$2))</f>
        <v>0</v>
      </c>
      <c r="R347" s="14">
        <f t="shared" ca="1" si="33"/>
        <v>0</v>
      </c>
      <c r="S347" s="14">
        <f>IF(O347&gt;$D$2,0,IF($G$2=Choices!$B$1,-PMT(Q347/12,$D$2-(O347-1),P347),0))</f>
        <v>0</v>
      </c>
      <c r="T347" s="14">
        <f ca="1">IF(AND($G$2=Choices!$B$2,O347=$D$2),P347,IF(AND($G$2=Choices!$B$2,O347&lt;$D$2),0,S347-R347))</f>
        <v>0</v>
      </c>
      <c r="U347" s="14">
        <f t="shared" ca="1" si="34"/>
        <v>0</v>
      </c>
      <c r="V347" s="14">
        <f t="shared" ca="1" si="35"/>
        <v>0</v>
      </c>
    </row>
    <row r="348" spans="1:22" x14ac:dyDescent="0.2">
      <c r="A348" s="5">
        <f t="shared" si="30"/>
        <v>341</v>
      </c>
      <c r="B348" s="23"/>
      <c r="C348" s="14">
        <v>0</v>
      </c>
      <c r="D348" s="14">
        <v>0</v>
      </c>
      <c r="E348" s="14">
        <v>0</v>
      </c>
      <c r="F348" s="14">
        <v>0</v>
      </c>
      <c r="G348" s="14">
        <v>0</v>
      </c>
      <c r="H348" s="23"/>
      <c r="I348" s="14">
        <v>0</v>
      </c>
      <c r="J348" s="14">
        <v>0</v>
      </c>
      <c r="K348" s="14">
        <v>0</v>
      </c>
      <c r="L348" s="14">
        <v>0</v>
      </c>
      <c r="M348" s="14">
        <v>0</v>
      </c>
      <c r="N348" s="23"/>
      <c r="O348" s="5">
        <f t="shared" si="31"/>
        <v>341</v>
      </c>
      <c r="P348" s="15">
        <f t="shared" ca="1" si="32"/>
        <v>0</v>
      </c>
      <c r="Q348" s="5">
        <f ca="1">IF(O348&gt;$D$2,0,IF($F$2=Choices!$A$2,IF(O348&gt;$E$2,OFFSET(LiborCurve!$A$1,O348,0)+$C$2,$B$2),$B$2))</f>
        <v>0</v>
      </c>
      <c r="R348" s="14">
        <f t="shared" ca="1" si="33"/>
        <v>0</v>
      </c>
      <c r="S348" s="14">
        <f>IF(O348&gt;$D$2,0,IF($G$2=Choices!$B$1,-PMT(Q348/12,$D$2-(O348-1),P348),0))</f>
        <v>0</v>
      </c>
      <c r="T348" s="14">
        <f ca="1">IF(AND($G$2=Choices!$B$2,O348=$D$2),P348,IF(AND($G$2=Choices!$B$2,O348&lt;$D$2),0,S348-R348))</f>
        <v>0</v>
      </c>
      <c r="U348" s="14">
        <f t="shared" ca="1" si="34"/>
        <v>0</v>
      </c>
      <c r="V348" s="14">
        <f t="shared" ca="1" si="35"/>
        <v>0</v>
      </c>
    </row>
    <row r="349" spans="1:22" x14ac:dyDescent="0.2">
      <c r="A349" s="5">
        <f t="shared" si="30"/>
        <v>342</v>
      </c>
      <c r="B349" s="23"/>
      <c r="C349" s="14">
        <v>0</v>
      </c>
      <c r="D349" s="14">
        <v>0</v>
      </c>
      <c r="E349" s="14">
        <v>0</v>
      </c>
      <c r="F349" s="14">
        <v>0</v>
      </c>
      <c r="G349" s="14">
        <v>0</v>
      </c>
      <c r="H349" s="23"/>
      <c r="I349" s="14">
        <v>0</v>
      </c>
      <c r="J349" s="14">
        <v>0</v>
      </c>
      <c r="K349" s="14">
        <v>0</v>
      </c>
      <c r="L349" s="14">
        <v>0</v>
      </c>
      <c r="M349" s="14">
        <v>0</v>
      </c>
      <c r="N349" s="23"/>
      <c r="O349" s="5">
        <f t="shared" si="31"/>
        <v>342</v>
      </c>
      <c r="P349" s="15">
        <f t="shared" ca="1" si="32"/>
        <v>0</v>
      </c>
      <c r="Q349" s="5">
        <f ca="1">IF(O349&gt;$D$2,0,IF($F$2=Choices!$A$2,IF(O349&gt;$E$2,OFFSET(LiborCurve!$A$1,O349,0)+$C$2,$B$2),$B$2))</f>
        <v>0</v>
      </c>
      <c r="R349" s="14">
        <f t="shared" ca="1" si="33"/>
        <v>0</v>
      </c>
      <c r="S349" s="14">
        <f>IF(O349&gt;$D$2,0,IF($G$2=Choices!$B$1,-PMT(Q349/12,$D$2-(O349-1),P349),0))</f>
        <v>0</v>
      </c>
      <c r="T349" s="14">
        <f ca="1">IF(AND($G$2=Choices!$B$2,O349=$D$2),P349,IF(AND($G$2=Choices!$B$2,O349&lt;$D$2),0,S349-R349))</f>
        <v>0</v>
      </c>
      <c r="U349" s="14">
        <f t="shared" ca="1" si="34"/>
        <v>0</v>
      </c>
      <c r="V349" s="14">
        <f t="shared" ca="1" si="35"/>
        <v>0</v>
      </c>
    </row>
    <row r="350" spans="1:22" x14ac:dyDescent="0.2">
      <c r="A350" s="5">
        <f t="shared" si="30"/>
        <v>343</v>
      </c>
      <c r="B350" s="23"/>
      <c r="C350" s="14">
        <v>0</v>
      </c>
      <c r="D350" s="14">
        <v>0</v>
      </c>
      <c r="E350" s="14">
        <v>0</v>
      </c>
      <c r="F350" s="14">
        <v>0</v>
      </c>
      <c r="G350" s="14">
        <v>0</v>
      </c>
      <c r="H350" s="23"/>
      <c r="I350" s="14">
        <v>0</v>
      </c>
      <c r="J350" s="14">
        <v>0</v>
      </c>
      <c r="K350" s="14">
        <v>0</v>
      </c>
      <c r="L350" s="14">
        <v>0</v>
      </c>
      <c r="M350" s="14">
        <v>0</v>
      </c>
      <c r="N350" s="23"/>
      <c r="O350" s="5">
        <f t="shared" si="31"/>
        <v>343</v>
      </c>
      <c r="P350" s="15">
        <f t="shared" ca="1" si="32"/>
        <v>0</v>
      </c>
      <c r="Q350" s="5">
        <f ca="1">IF(O350&gt;$D$2,0,IF($F$2=Choices!$A$2,IF(O350&gt;$E$2,OFFSET(LiborCurve!$A$1,O350,0)+$C$2,$B$2),$B$2))</f>
        <v>0</v>
      </c>
      <c r="R350" s="14">
        <f t="shared" ca="1" si="33"/>
        <v>0</v>
      </c>
      <c r="S350" s="14">
        <f>IF(O350&gt;$D$2,0,IF($G$2=Choices!$B$1,-PMT(Q350/12,$D$2-(O350-1),P350),0))</f>
        <v>0</v>
      </c>
      <c r="T350" s="14">
        <f ca="1">IF(AND($G$2=Choices!$B$2,O350=$D$2),P350,IF(AND($G$2=Choices!$B$2,O350&lt;$D$2),0,S350-R350))</f>
        <v>0</v>
      </c>
      <c r="U350" s="14">
        <f t="shared" ca="1" si="34"/>
        <v>0</v>
      </c>
      <c r="V350" s="14">
        <f t="shared" ca="1" si="35"/>
        <v>0</v>
      </c>
    </row>
    <row r="351" spans="1:22" x14ac:dyDescent="0.2">
      <c r="A351" s="5">
        <f t="shared" si="30"/>
        <v>344</v>
      </c>
      <c r="B351" s="23"/>
      <c r="C351" s="14">
        <v>0</v>
      </c>
      <c r="D351" s="14">
        <v>0</v>
      </c>
      <c r="E351" s="14">
        <v>0</v>
      </c>
      <c r="F351" s="14">
        <v>0</v>
      </c>
      <c r="G351" s="14">
        <v>0</v>
      </c>
      <c r="H351" s="23"/>
      <c r="I351" s="14">
        <v>0</v>
      </c>
      <c r="J351" s="14">
        <v>0</v>
      </c>
      <c r="K351" s="14">
        <v>0</v>
      </c>
      <c r="L351" s="14">
        <v>0</v>
      </c>
      <c r="M351" s="14">
        <v>0</v>
      </c>
      <c r="N351" s="23"/>
      <c r="O351" s="5">
        <f t="shared" si="31"/>
        <v>344</v>
      </c>
      <c r="P351" s="15">
        <f t="shared" ca="1" si="32"/>
        <v>0</v>
      </c>
      <c r="Q351" s="5">
        <f ca="1">IF(O351&gt;$D$2,0,IF($F$2=Choices!$A$2,IF(O351&gt;$E$2,OFFSET(LiborCurve!$A$1,O351,0)+$C$2,$B$2),$B$2))</f>
        <v>0</v>
      </c>
      <c r="R351" s="14">
        <f t="shared" ca="1" si="33"/>
        <v>0</v>
      </c>
      <c r="S351" s="14">
        <f>IF(O351&gt;$D$2,0,IF($G$2=Choices!$B$1,-PMT(Q351/12,$D$2-(O351-1),P351),0))</f>
        <v>0</v>
      </c>
      <c r="T351" s="14">
        <f ca="1">IF(AND($G$2=Choices!$B$2,O351=$D$2),P351,IF(AND($G$2=Choices!$B$2,O351&lt;$D$2),0,S351-R351))</f>
        <v>0</v>
      </c>
      <c r="U351" s="14">
        <f t="shared" ca="1" si="34"/>
        <v>0</v>
      </c>
      <c r="V351" s="14">
        <f t="shared" ca="1" si="35"/>
        <v>0</v>
      </c>
    </row>
    <row r="352" spans="1:22" x14ac:dyDescent="0.2">
      <c r="A352" s="5">
        <f t="shared" si="30"/>
        <v>345</v>
      </c>
      <c r="B352" s="23"/>
      <c r="C352" s="14">
        <v>0</v>
      </c>
      <c r="D352" s="14">
        <v>0</v>
      </c>
      <c r="E352" s="14">
        <v>0</v>
      </c>
      <c r="F352" s="14">
        <v>0</v>
      </c>
      <c r="G352" s="14">
        <v>0</v>
      </c>
      <c r="H352" s="23"/>
      <c r="I352" s="14">
        <v>0</v>
      </c>
      <c r="J352" s="14">
        <v>0</v>
      </c>
      <c r="K352" s="14">
        <v>0</v>
      </c>
      <c r="L352" s="14">
        <v>0</v>
      </c>
      <c r="M352" s="14">
        <v>0</v>
      </c>
      <c r="N352" s="23"/>
      <c r="O352" s="5">
        <f t="shared" si="31"/>
        <v>345</v>
      </c>
      <c r="P352" s="15">
        <f t="shared" ca="1" si="32"/>
        <v>0</v>
      </c>
      <c r="Q352" s="5">
        <f ca="1">IF(O352&gt;$D$2,0,IF($F$2=Choices!$A$2,IF(O352&gt;$E$2,OFFSET(LiborCurve!$A$1,O352,0)+$C$2,$B$2),$B$2))</f>
        <v>0</v>
      </c>
      <c r="R352" s="14">
        <f t="shared" ca="1" si="33"/>
        <v>0</v>
      </c>
      <c r="S352" s="14">
        <f>IF(O352&gt;$D$2,0,IF($G$2=Choices!$B$1,-PMT(Q352/12,$D$2-(O352-1),P352),0))</f>
        <v>0</v>
      </c>
      <c r="T352" s="14">
        <f ca="1">IF(AND($G$2=Choices!$B$2,O352=$D$2),P352,IF(AND($G$2=Choices!$B$2,O352&lt;$D$2),0,S352-R352))</f>
        <v>0</v>
      </c>
      <c r="U352" s="14">
        <f t="shared" ca="1" si="34"/>
        <v>0</v>
      </c>
      <c r="V352" s="14">
        <f t="shared" ca="1" si="35"/>
        <v>0</v>
      </c>
    </row>
    <row r="353" spans="1:22" x14ac:dyDescent="0.2">
      <c r="A353" s="5">
        <f t="shared" si="30"/>
        <v>346</v>
      </c>
      <c r="B353" s="23"/>
      <c r="C353" s="14">
        <v>0</v>
      </c>
      <c r="D353" s="14">
        <v>0</v>
      </c>
      <c r="E353" s="14">
        <v>0</v>
      </c>
      <c r="F353" s="14">
        <v>0</v>
      </c>
      <c r="G353" s="14">
        <v>0</v>
      </c>
      <c r="H353" s="23"/>
      <c r="I353" s="14">
        <v>0</v>
      </c>
      <c r="J353" s="14">
        <v>0</v>
      </c>
      <c r="K353" s="14">
        <v>0</v>
      </c>
      <c r="L353" s="14">
        <v>0</v>
      </c>
      <c r="M353" s="14">
        <v>0</v>
      </c>
      <c r="N353" s="23"/>
      <c r="O353" s="5">
        <f t="shared" si="31"/>
        <v>346</v>
      </c>
      <c r="P353" s="15">
        <f t="shared" ca="1" si="32"/>
        <v>0</v>
      </c>
      <c r="Q353" s="5">
        <f ca="1">IF(O353&gt;$D$2,0,IF($F$2=Choices!$A$2,IF(O353&gt;$E$2,OFFSET(LiborCurve!$A$1,O353,0)+$C$2,$B$2),$B$2))</f>
        <v>0</v>
      </c>
      <c r="R353" s="14">
        <f t="shared" ca="1" si="33"/>
        <v>0</v>
      </c>
      <c r="S353" s="14">
        <f>IF(O353&gt;$D$2,0,IF($G$2=Choices!$B$1,-PMT(Q353/12,$D$2-(O353-1),P353),0))</f>
        <v>0</v>
      </c>
      <c r="T353" s="14">
        <f ca="1">IF(AND($G$2=Choices!$B$2,O353=$D$2),P353,IF(AND($G$2=Choices!$B$2,O353&lt;$D$2),0,S353-R353))</f>
        <v>0</v>
      </c>
      <c r="U353" s="14">
        <f t="shared" ca="1" si="34"/>
        <v>0</v>
      </c>
      <c r="V353" s="14">
        <f t="shared" ca="1" si="35"/>
        <v>0</v>
      </c>
    </row>
    <row r="354" spans="1:22" x14ac:dyDescent="0.2">
      <c r="A354" s="5">
        <f t="shared" si="30"/>
        <v>347</v>
      </c>
      <c r="B354" s="23"/>
      <c r="C354" s="14">
        <v>0</v>
      </c>
      <c r="D354" s="14">
        <v>0</v>
      </c>
      <c r="E354" s="14">
        <v>0</v>
      </c>
      <c r="F354" s="14">
        <v>0</v>
      </c>
      <c r="G354" s="14">
        <v>0</v>
      </c>
      <c r="H354" s="23"/>
      <c r="I354" s="14">
        <v>0</v>
      </c>
      <c r="J354" s="14">
        <v>0</v>
      </c>
      <c r="K354" s="14">
        <v>0</v>
      </c>
      <c r="L354" s="14">
        <v>0</v>
      </c>
      <c r="M354" s="14">
        <v>0</v>
      </c>
      <c r="N354" s="23"/>
      <c r="O354" s="5">
        <f t="shared" si="31"/>
        <v>347</v>
      </c>
      <c r="P354" s="15">
        <f t="shared" ca="1" si="32"/>
        <v>0</v>
      </c>
      <c r="Q354" s="5">
        <f ca="1">IF(O354&gt;$D$2,0,IF($F$2=Choices!$A$2,IF(O354&gt;$E$2,OFFSET(LiborCurve!$A$1,O354,0)+$C$2,$B$2),$B$2))</f>
        <v>0</v>
      </c>
      <c r="R354" s="14">
        <f t="shared" ca="1" si="33"/>
        <v>0</v>
      </c>
      <c r="S354" s="14">
        <f>IF(O354&gt;$D$2,0,IF($G$2=Choices!$B$1,-PMT(Q354/12,$D$2-(O354-1),P354),0))</f>
        <v>0</v>
      </c>
      <c r="T354" s="14">
        <f ca="1">IF(AND($G$2=Choices!$B$2,O354=$D$2),P354,IF(AND($G$2=Choices!$B$2,O354&lt;$D$2),0,S354-R354))</f>
        <v>0</v>
      </c>
      <c r="U354" s="14">
        <f t="shared" ca="1" si="34"/>
        <v>0</v>
      </c>
      <c r="V354" s="14">
        <f t="shared" ca="1" si="35"/>
        <v>0</v>
      </c>
    </row>
    <row r="355" spans="1:22" x14ac:dyDescent="0.2">
      <c r="A355" s="5">
        <f t="shared" si="30"/>
        <v>348</v>
      </c>
      <c r="B355" s="23"/>
      <c r="C355" s="14">
        <v>0</v>
      </c>
      <c r="D355" s="14">
        <v>0</v>
      </c>
      <c r="E355" s="14">
        <v>0</v>
      </c>
      <c r="F355" s="14">
        <v>0</v>
      </c>
      <c r="G355" s="14">
        <v>0</v>
      </c>
      <c r="H355" s="23"/>
      <c r="I355" s="14">
        <v>0</v>
      </c>
      <c r="J355" s="14">
        <v>0</v>
      </c>
      <c r="K355" s="14">
        <v>0</v>
      </c>
      <c r="L355" s="14">
        <v>0</v>
      </c>
      <c r="M355" s="14">
        <v>0</v>
      </c>
      <c r="N355" s="23"/>
      <c r="O355" s="5">
        <f t="shared" si="31"/>
        <v>348</v>
      </c>
      <c r="P355" s="15">
        <f t="shared" ca="1" si="32"/>
        <v>0</v>
      </c>
      <c r="Q355" s="5">
        <f ca="1">IF(O355&gt;$D$2,0,IF($F$2=Choices!$A$2,IF(O355&gt;$E$2,OFFSET(LiborCurve!$A$1,O355,0)+$C$2,$B$2),$B$2))</f>
        <v>0</v>
      </c>
      <c r="R355" s="14">
        <f t="shared" ca="1" si="33"/>
        <v>0</v>
      </c>
      <c r="S355" s="14">
        <f>IF(O355&gt;$D$2,0,IF($G$2=Choices!$B$1,-PMT(Q355/12,$D$2-(O355-1),P355),0))</f>
        <v>0</v>
      </c>
      <c r="T355" s="14">
        <f ca="1">IF(AND($G$2=Choices!$B$2,O355=$D$2),P355,IF(AND($G$2=Choices!$B$2,O355&lt;$D$2),0,S355-R355))</f>
        <v>0</v>
      </c>
      <c r="U355" s="14">
        <f t="shared" ca="1" si="34"/>
        <v>0</v>
      </c>
      <c r="V355" s="14">
        <f t="shared" ca="1" si="35"/>
        <v>0</v>
      </c>
    </row>
    <row r="356" spans="1:22" x14ac:dyDescent="0.2">
      <c r="A356" s="5">
        <f t="shared" si="30"/>
        <v>349</v>
      </c>
      <c r="B356" s="23"/>
      <c r="C356" s="14">
        <v>0</v>
      </c>
      <c r="D356" s="14">
        <v>0</v>
      </c>
      <c r="E356" s="14">
        <v>0</v>
      </c>
      <c r="F356" s="14">
        <v>0</v>
      </c>
      <c r="G356" s="14">
        <v>0</v>
      </c>
      <c r="H356" s="23"/>
      <c r="I356" s="14">
        <v>0</v>
      </c>
      <c r="J356" s="14">
        <v>0</v>
      </c>
      <c r="K356" s="14">
        <v>0</v>
      </c>
      <c r="L356" s="14">
        <v>0</v>
      </c>
      <c r="M356" s="14">
        <v>0</v>
      </c>
      <c r="N356" s="23"/>
      <c r="O356" s="5">
        <f t="shared" si="31"/>
        <v>349</v>
      </c>
      <c r="P356" s="15">
        <f t="shared" ca="1" si="32"/>
        <v>0</v>
      </c>
      <c r="Q356" s="5">
        <f ca="1">IF(O356&gt;$D$2,0,IF($F$2=Choices!$A$2,IF(O356&gt;$E$2,OFFSET(LiborCurve!$A$1,O356,0)+$C$2,$B$2),$B$2))</f>
        <v>0</v>
      </c>
      <c r="R356" s="14">
        <f t="shared" ca="1" si="33"/>
        <v>0</v>
      </c>
      <c r="S356" s="14">
        <f>IF(O356&gt;$D$2,0,IF($G$2=Choices!$B$1,-PMT(Q356/12,$D$2-(O356-1),P356),0))</f>
        <v>0</v>
      </c>
      <c r="T356" s="14">
        <f ca="1">IF(AND($G$2=Choices!$B$2,O356=$D$2),P356,IF(AND($G$2=Choices!$B$2,O356&lt;$D$2),0,S356-R356))</f>
        <v>0</v>
      </c>
      <c r="U356" s="14">
        <f t="shared" ca="1" si="34"/>
        <v>0</v>
      </c>
      <c r="V356" s="14">
        <f t="shared" ca="1" si="35"/>
        <v>0</v>
      </c>
    </row>
    <row r="357" spans="1:22" x14ac:dyDescent="0.2">
      <c r="A357" s="5">
        <f t="shared" si="30"/>
        <v>350</v>
      </c>
      <c r="B357" s="23"/>
      <c r="C357" s="14">
        <v>0</v>
      </c>
      <c r="D357" s="14">
        <v>0</v>
      </c>
      <c r="E357" s="14">
        <v>0</v>
      </c>
      <c r="F357" s="14">
        <v>0</v>
      </c>
      <c r="G357" s="14">
        <v>0</v>
      </c>
      <c r="H357" s="23"/>
      <c r="I357" s="14">
        <v>0</v>
      </c>
      <c r="J357" s="14">
        <v>0</v>
      </c>
      <c r="K357" s="14">
        <v>0</v>
      </c>
      <c r="L357" s="14">
        <v>0</v>
      </c>
      <c r="M357" s="14">
        <v>0</v>
      </c>
      <c r="N357" s="23"/>
      <c r="O357" s="5">
        <f t="shared" si="31"/>
        <v>350</v>
      </c>
      <c r="P357" s="15">
        <f t="shared" ca="1" si="32"/>
        <v>0</v>
      </c>
      <c r="Q357" s="5">
        <f ca="1">IF(O357&gt;$D$2,0,IF($F$2=Choices!$A$2,IF(O357&gt;$E$2,OFFSET(LiborCurve!$A$1,O357,0)+$C$2,$B$2),$B$2))</f>
        <v>0</v>
      </c>
      <c r="R357" s="14">
        <f t="shared" ca="1" si="33"/>
        <v>0</v>
      </c>
      <c r="S357" s="14">
        <f>IF(O357&gt;$D$2,0,IF($G$2=Choices!$B$1,-PMT(Q357/12,$D$2-(O357-1),P357),0))</f>
        <v>0</v>
      </c>
      <c r="T357" s="14">
        <f ca="1">IF(AND($G$2=Choices!$B$2,O357=$D$2),P357,IF(AND($G$2=Choices!$B$2,O357&lt;$D$2),0,S357-R357))</f>
        <v>0</v>
      </c>
      <c r="U357" s="14">
        <f t="shared" ca="1" si="34"/>
        <v>0</v>
      </c>
      <c r="V357" s="14">
        <f t="shared" ca="1" si="35"/>
        <v>0</v>
      </c>
    </row>
    <row r="358" spans="1:22" x14ac:dyDescent="0.2">
      <c r="A358" s="5">
        <f t="shared" si="30"/>
        <v>351</v>
      </c>
      <c r="B358" s="23"/>
      <c r="C358" s="14">
        <v>0</v>
      </c>
      <c r="D358" s="14">
        <v>0</v>
      </c>
      <c r="E358" s="14">
        <v>0</v>
      </c>
      <c r="F358" s="14">
        <v>0</v>
      </c>
      <c r="G358" s="14">
        <v>0</v>
      </c>
      <c r="H358" s="23"/>
      <c r="I358" s="14">
        <v>0</v>
      </c>
      <c r="J358" s="14">
        <v>0</v>
      </c>
      <c r="K358" s="14">
        <v>0</v>
      </c>
      <c r="L358" s="14">
        <v>0</v>
      </c>
      <c r="M358" s="14">
        <v>0</v>
      </c>
      <c r="N358" s="23"/>
      <c r="O358" s="5">
        <f t="shared" si="31"/>
        <v>351</v>
      </c>
      <c r="P358" s="15">
        <f t="shared" ca="1" si="32"/>
        <v>0</v>
      </c>
      <c r="Q358" s="5">
        <f ca="1">IF(O358&gt;$D$2,0,IF($F$2=Choices!$A$2,IF(O358&gt;$E$2,OFFSET(LiborCurve!$A$1,O358,0)+$C$2,$B$2),$B$2))</f>
        <v>0</v>
      </c>
      <c r="R358" s="14">
        <f t="shared" ca="1" si="33"/>
        <v>0</v>
      </c>
      <c r="S358" s="14">
        <f>IF(O358&gt;$D$2,0,IF($G$2=Choices!$B$1,-PMT(Q358/12,$D$2-(O358-1),P358),0))</f>
        <v>0</v>
      </c>
      <c r="T358" s="14">
        <f ca="1">IF(AND($G$2=Choices!$B$2,O358=$D$2),P358,IF(AND($G$2=Choices!$B$2,O358&lt;$D$2),0,S358-R358))</f>
        <v>0</v>
      </c>
      <c r="U358" s="14">
        <f t="shared" ca="1" si="34"/>
        <v>0</v>
      </c>
      <c r="V358" s="14">
        <f t="shared" ca="1" si="35"/>
        <v>0</v>
      </c>
    </row>
    <row r="359" spans="1:22" x14ac:dyDescent="0.2">
      <c r="A359" s="5">
        <f t="shared" si="30"/>
        <v>352</v>
      </c>
      <c r="B359" s="23"/>
      <c r="C359" s="14">
        <v>0</v>
      </c>
      <c r="D359" s="14">
        <v>0</v>
      </c>
      <c r="E359" s="14">
        <v>0</v>
      </c>
      <c r="F359" s="14">
        <v>0</v>
      </c>
      <c r="G359" s="14">
        <v>0</v>
      </c>
      <c r="H359" s="23"/>
      <c r="I359" s="14">
        <v>0</v>
      </c>
      <c r="J359" s="14">
        <v>0</v>
      </c>
      <c r="K359" s="14">
        <v>0</v>
      </c>
      <c r="L359" s="14">
        <v>0</v>
      </c>
      <c r="M359" s="14">
        <v>0</v>
      </c>
      <c r="N359" s="23"/>
      <c r="O359" s="5">
        <f t="shared" si="31"/>
        <v>352</v>
      </c>
      <c r="P359" s="15">
        <f t="shared" ca="1" si="32"/>
        <v>0</v>
      </c>
      <c r="Q359" s="5">
        <f ca="1">IF(O359&gt;$D$2,0,IF($F$2=Choices!$A$2,IF(O359&gt;$E$2,OFFSET(LiborCurve!$A$1,O359,0)+$C$2,$B$2),$B$2))</f>
        <v>0</v>
      </c>
      <c r="R359" s="14">
        <f t="shared" ca="1" si="33"/>
        <v>0</v>
      </c>
      <c r="S359" s="14">
        <f>IF(O359&gt;$D$2,0,IF($G$2=Choices!$B$1,-PMT(Q359/12,$D$2-(O359-1),P359),0))</f>
        <v>0</v>
      </c>
      <c r="T359" s="14">
        <f ca="1">IF(AND($G$2=Choices!$B$2,O359=$D$2),P359,IF(AND($G$2=Choices!$B$2,O359&lt;$D$2),0,S359-R359))</f>
        <v>0</v>
      </c>
      <c r="U359" s="14">
        <f t="shared" ca="1" si="34"/>
        <v>0</v>
      </c>
      <c r="V359" s="14">
        <f t="shared" ca="1" si="35"/>
        <v>0</v>
      </c>
    </row>
    <row r="360" spans="1:22" x14ac:dyDescent="0.2">
      <c r="A360" s="5">
        <f t="shared" si="30"/>
        <v>353</v>
      </c>
      <c r="B360" s="23"/>
      <c r="C360" s="14">
        <v>0</v>
      </c>
      <c r="D360" s="14">
        <v>0</v>
      </c>
      <c r="E360" s="14">
        <v>0</v>
      </c>
      <c r="F360" s="14">
        <v>0</v>
      </c>
      <c r="G360" s="14">
        <v>0</v>
      </c>
      <c r="H360" s="23"/>
      <c r="I360" s="14">
        <v>0</v>
      </c>
      <c r="J360" s="14">
        <v>0</v>
      </c>
      <c r="K360" s="14">
        <v>0</v>
      </c>
      <c r="L360" s="14">
        <v>0</v>
      </c>
      <c r="M360" s="14">
        <v>0</v>
      </c>
      <c r="N360" s="23"/>
      <c r="O360" s="5">
        <f t="shared" si="31"/>
        <v>353</v>
      </c>
      <c r="P360" s="15">
        <f t="shared" ca="1" si="32"/>
        <v>0</v>
      </c>
      <c r="Q360" s="5">
        <f ca="1">IF(O360&gt;$D$2,0,IF($F$2=Choices!$A$2,IF(O360&gt;$E$2,OFFSET(LiborCurve!$A$1,O360,0)+$C$2,$B$2),$B$2))</f>
        <v>0</v>
      </c>
      <c r="R360" s="14">
        <f t="shared" ca="1" si="33"/>
        <v>0</v>
      </c>
      <c r="S360" s="14">
        <f>IF(O360&gt;$D$2,0,IF($G$2=Choices!$B$1,-PMT(Q360/12,$D$2-(O360-1),P360),0))</f>
        <v>0</v>
      </c>
      <c r="T360" s="14">
        <f ca="1">IF(AND($G$2=Choices!$B$2,O360=$D$2),P360,IF(AND($G$2=Choices!$B$2,O360&lt;$D$2),0,S360-R360))</f>
        <v>0</v>
      </c>
      <c r="U360" s="14">
        <f t="shared" ca="1" si="34"/>
        <v>0</v>
      </c>
      <c r="V360" s="14">
        <f t="shared" ca="1" si="35"/>
        <v>0</v>
      </c>
    </row>
    <row r="361" spans="1:22" x14ac:dyDescent="0.2">
      <c r="A361" s="5">
        <f t="shared" si="30"/>
        <v>354</v>
      </c>
      <c r="B361" s="23"/>
      <c r="C361" s="14">
        <v>0</v>
      </c>
      <c r="D361" s="14">
        <v>0</v>
      </c>
      <c r="E361" s="14">
        <v>0</v>
      </c>
      <c r="F361" s="14">
        <v>0</v>
      </c>
      <c r="G361" s="14">
        <v>0</v>
      </c>
      <c r="H361" s="23"/>
      <c r="I361" s="14">
        <v>0</v>
      </c>
      <c r="J361" s="14">
        <v>0</v>
      </c>
      <c r="K361" s="14">
        <v>0</v>
      </c>
      <c r="L361" s="14">
        <v>0</v>
      </c>
      <c r="M361" s="14">
        <v>0</v>
      </c>
      <c r="N361" s="23"/>
      <c r="O361" s="5">
        <f t="shared" si="31"/>
        <v>354</v>
      </c>
      <c r="P361" s="15">
        <f t="shared" ca="1" si="32"/>
        <v>0</v>
      </c>
      <c r="Q361" s="5">
        <f ca="1">IF(O361&gt;$D$2,0,IF($F$2=Choices!$A$2,IF(O361&gt;$E$2,OFFSET(LiborCurve!$A$1,O361,0)+$C$2,$B$2),$B$2))</f>
        <v>0</v>
      </c>
      <c r="R361" s="14">
        <f t="shared" ca="1" si="33"/>
        <v>0</v>
      </c>
      <c r="S361" s="14">
        <f>IF(O361&gt;$D$2,0,IF($G$2=Choices!$B$1,-PMT(Q361/12,$D$2-(O361-1),P361),0))</f>
        <v>0</v>
      </c>
      <c r="T361" s="14">
        <f ca="1">IF(AND($G$2=Choices!$B$2,O361=$D$2),P361,IF(AND($G$2=Choices!$B$2,O361&lt;$D$2),0,S361-R361))</f>
        <v>0</v>
      </c>
      <c r="U361" s="14">
        <f t="shared" ca="1" si="34"/>
        <v>0</v>
      </c>
      <c r="V361" s="14">
        <f t="shared" ca="1" si="35"/>
        <v>0</v>
      </c>
    </row>
    <row r="362" spans="1:22" x14ac:dyDescent="0.2">
      <c r="A362" s="5">
        <f t="shared" si="30"/>
        <v>355</v>
      </c>
      <c r="B362" s="23"/>
      <c r="C362" s="14">
        <v>0</v>
      </c>
      <c r="D362" s="14">
        <v>0</v>
      </c>
      <c r="E362" s="14">
        <v>0</v>
      </c>
      <c r="F362" s="14">
        <v>0</v>
      </c>
      <c r="G362" s="14">
        <v>0</v>
      </c>
      <c r="H362" s="23"/>
      <c r="I362" s="14">
        <v>0</v>
      </c>
      <c r="J362" s="14">
        <v>0</v>
      </c>
      <c r="K362" s="14">
        <v>0</v>
      </c>
      <c r="L362" s="14">
        <v>0</v>
      </c>
      <c r="M362" s="14">
        <v>0</v>
      </c>
      <c r="N362" s="23"/>
      <c r="O362" s="5">
        <f t="shared" si="31"/>
        <v>355</v>
      </c>
      <c r="P362" s="15">
        <f t="shared" ca="1" si="32"/>
        <v>0</v>
      </c>
      <c r="Q362" s="5">
        <f ca="1">IF(O362&gt;$D$2,0,IF($F$2=Choices!$A$2,IF(O362&gt;$E$2,OFFSET(LiborCurve!$A$1,O362,0)+$C$2,$B$2),$B$2))</f>
        <v>0</v>
      </c>
      <c r="R362" s="14">
        <f t="shared" ca="1" si="33"/>
        <v>0</v>
      </c>
      <c r="S362" s="14">
        <f>IF(O362&gt;$D$2,0,IF($G$2=Choices!$B$1,-PMT(Q362/12,$D$2-(O362-1),P362),0))</f>
        <v>0</v>
      </c>
      <c r="T362" s="14">
        <f ca="1">IF(AND($G$2=Choices!$B$2,O362=$D$2),P362,IF(AND($G$2=Choices!$B$2,O362&lt;$D$2),0,S362-R362))</f>
        <v>0</v>
      </c>
      <c r="U362" s="14">
        <f t="shared" ca="1" si="34"/>
        <v>0</v>
      </c>
      <c r="V362" s="14">
        <f t="shared" ca="1" si="35"/>
        <v>0</v>
      </c>
    </row>
    <row r="363" spans="1:22" x14ac:dyDescent="0.2">
      <c r="A363" s="5">
        <f t="shared" si="30"/>
        <v>356</v>
      </c>
      <c r="B363" s="23"/>
      <c r="C363" s="14">
        <v>0</v>
      </c>
      <c r="D363" s="14">
        <v>0</v>
      </c>
      <c r="E363" s="14">
        <v>0</v>
      </c>
      <c r="F363" s="14">
        <v>0</v>
      </c>
      <c r="G363" s="14">
        <v>0</v>
      </c>
      <c r="H363" s="23"/>
      <c r="I363" s="14">
        <v>0</v>
      </c>
      <c r="J363" s="14">
        <v>0</v>
      </c>
      <c r="K363" s="14">
        <v>0</v>
      </c>
      <c r="L363" s="14">
        <v>0</v>
      </c>
      <c r="M363" s="14">
        <v>0</v>
      </c>
      <c r="N363" s="23"/>
      <c r="O363" s="5">
        <f t="shared" si="31"/>
        <v>356</v>
      </c>
      <c r="P363" s="15">
        <f t="shared" ca="1" si="32"/>
        <v>0</v>
      </c>
      <c r="Q363" s="5">
        <f ca="1">IF(O363&gt;$D$2,0,IF($F$2=Choices!$A$2,IF(O363&gt;$E$2,OFFSET(LiborCurve!$A$1,O363,0)+$C$2,$B$2),$B$2))</f>
        <v>0</v>
      </c>
      <c r="R363" s="14">
        <f t="shared" ca="1" si="33"/>
        <v>0</v>
      </c>
      <c r="S363" s="14">
        <f>IF(O363&gt;$D$2,0,IF($G$2=Choices!$B$1,-PMT(Q363/12,$D$2-(O363-1),P363),0))</f>
        <v>0</v>
      </c>
      <c r="T363" s="14">
        <f ca="1">IF(AND($G$2=Choices!$B$2,O363=$D$2),P363,IF(AND($G$2=Choices!$B$2,O363&lt;$D$2),0,S363-R363))</f>
        <v>0</v>
      </c>
      <c r="U363" s="14">
        <f t="shared" ca="1" si="34"/>
        <v>0</v>
      </c>
      <c r="V363" s="14">
        <f t="shared" ca="1" si="35"/>
        <v>0</v>
      </c>
    </row>
    <row r="364" spans="1:22" x14ac:dyDescent="0.2">
      <c r="A364" s="5">
        <f t="shared" si="30"/>
        <v>357</v>
      </c>
      <c r="B364" s="23"/>
      <c r="C364" s="14">
        <v>0</v>
      </c>
      <c r="D364" s="14">
        <v>0</v>
      </c>
      <c r="E364" s="14">
        <v>0</v>
      </c>
      <c r="F364" s="14">
        <v>0</v>
      </c>
      <c r="G364" s="14">
        <v>0</v>
      </c>
      <c r="H364" s="23"/>
      <c r="I364" s="14">
        <v>0</v>
      </c>
      <c r="J364" s="14">
        <v>0</v>
      </c>
      <c r="K364" s="14">
        <v>0</v>
      </c>
      <c r="L364" s="14">
        <v>0</v>
      </c>
      <c r="M364" s="14">
        <v>0</v>
      </c>
      <c r="N364" s="23"/>
      <c r="O364" s="5">
        <f t="shared" si="31"/>
        <v>357</v>
      </c>
      <c r="P364" s="15">
        <f t="shared" ca="1" si="32"/>
        <v>0</v>
      </c>
      <c r="Q364" s="5">
        <f ca="1">IF(O364&gt;$D$2,0,IF($F$2=Choices!$A$2,IF(O364&gt;$E$2,OFFSET(LiborCurve!$A$1,O364,0)+$C$2,$B$2),$B$2))</f>
        <v>0</v>
      </c>
      <c r="R364" s="14">
        <f t="shared" ca="1" si="33"/>
        <v>0</v>
      </c>
      <c r="S364" s="14">
        <f>IF(O364&gt;$D$2,0,IF($G$2=Choices!$B$1,-PMT(Q364/12,$D$2-(O364-1),P364),0))</f>
        <v>0</v>
      </c>
      <c r="T364" s="14">
        <f ca="1">IF(AND($G$2=Choices!$B$2,O364=$D$2),P364,IF(AND($G$2=Choices!$B$2,O364&lt;$D$2),0,S364-R364))</f>
        <v>0</v>
      </c>
      <c r="U364" s="14">
        <f t="shared" ca="1" si="34"/>
        <v>0</v>
      </c>
      <c r="V364" s="14">
        <f t="shared" ca="1" si="35"/>
        <v>0</v>
      </c>
    </row>
    <row r="365" spans="1:22" x14ac:dyDescent="0.2">
      <c r="A365" s="5">
        <f t="shared" si="30"/>
        <v>358</v>
      </c>
      <c r="B365" s="23"/>
      <c r="C365" s="14">
        <v>0</v>
      </c>
      <c r="D365" s="14">
        <v>0</v>
      </c>
      <c r="E365" s="14">
        <v>0</v>
      </c>
      <c r="F365" s="14">
        <v>0</v>
      </c>
      <c r="G365" s="14">
        <v>0</v>
      </c>
      <c r="H365" s="23"/>
      <c r="I365" s="14">
        <v>0</v>
      </c>
      <c r="J365" s="14">
        <v>0</v>
      </c>
      <c r="K365" s="14">
        <v>0</v>
      </c>
      <c r="L365" s="14">
        <v>0</v>
      </c>
      <c r="M365" s="14">
        <v>0</v>
      </c>
      <c r="N365" s="23"/>
      <c r="O365" s="5">
        <f t="shared" si="31"/>
        <v>358</v>
      </c>
      <c r="P365" s="15">
        <f t="shared" ca="1" si="32"/>
        <v>0</v>
      </c>
      <c r="Q365" s="5">
        <f ca="1">IF(O365&gt;$D$2,0,IF($F$2=Choices!$A$2,IF(O365&gt;$E$2,OFFSET(LiborCurve!$A$1,O365,0)+$C$2,$B$2),$B$2))</f>
        <v>0</v>
      </c>
      <c r="R365" s="14">
        <f t="shared" ca="1" si="33"/>
        <v>0</v>
      </c>
      <c r="S365" s="14">
        <f>IF(O365&gt;$D$2,0,IF($G$2=Choices!$B$1,-PMT(Q365/12,$D$2-(O365-1),P365),0))</f>
        <v>0</v>
      </c>
      <c r="T365" s="14">
        <f ca="1">IF(AND($G$2=Choices!$B$2,O365=$D$2),P365,IF(AND($G$2=Choices!$B$2,O365&lt;$D$2),0,S365-R365))</f>
        <v>0</v>
      </c>
      <c r="U365" s="14">
        <f t="shared" ca="1" si="34"/>
        <v>0</v>
      </c>
      <c r="V365" s="14">
        <f t="shared" ca="1" si="35"/>
        <v>0</v>
      </c>
    </row>
    <row r="366" spans="1:22" x14ac:dyDescent="0.2">
      <c r="A366" s="5">
        <f t="shared" si="30"/>
        <v>359</v>
      </c>
      <c r="B366" s="23"/>
      <c r="C366" s="14">
        <v>0</v>
      </c>
      <c r="D366" s="14">
        <v>0</v>
      </c>
      <c r="E366" s="14">
        <v>0</v>
      </c>
      <c r="F366" s="14">
        <v>0</v>
      </c>
      <c r="G366" s="14">
        <v>0</v>
      </c>
      <c r="H366" s="23"/>
      <c r="I366" s="14">
        <v>0</v>
      </c>
      <c r="J366" s="14">
        <v>0</v>
      </c>
      <c r="K366" s="14">
        <v>0</v>
      </c>
      <c r="L366" s="14">
        <v>0</v>
      </c>
      <c r="M366" s="14">
        <v>0</v>
      </c>
      <c r="N366" s="23"/>
      <c r="O366" s="5">
        <f t="shared" si="31"/>
        <v>359</v>
      </c>
      <c r="P366" s="15">
        <f t="shared" ca="1" si="32"/>
        <v>0</v>
      </c>
      <c r="Q366" s="5">
        <f ca="1">IF(O366&gt;$D$2,0,IF($F$2=Choices!$A$2,IF(O366&gt;$E$2,OFFSET(LiborCurve!$A$1,O366,0)+$C$2,$B$2),$B$2))</f>
        <v>0</v>
      </c>
      <c r="R366" s="14">
        <f t="shared" ca="1" si="33"/>
        <v>0</v>
      </c>
      <c r="S366" s="14">
        <f>IF(O366&gt;$D$2,0,IF($G$2=Choices!$B$1,-PMT(Q366/12,$D$2-(O366-1),P366),0))</f>
        <v>0</v>
      </c>
      <c r="T366" s="14">
        <f ca="1">IF(AND($G$2=Choices!$B$2,O366=$D$2),P366,IF(AND($G$2=Choices!$B$2,O366&lt;$D$2),0,S366-R366))</f>
        <v>0</v>
      </c>
      <c r="U366" s="14">
        <f t="shared" ca="1" si="34"/>
        <v>0</v>
      </c>
      <c r="V366" s="14">
        <f t="shared" ca="1" si="35"/>
        <v>0</v>
      </c>
    </row>
    <row r="367" spans="1:22" x14ac:dyDescent="0.2">
      <c r="A367" s="5">
        <f t="shared" si="30"/>
        <v>360</v>
      </c>
      <c r="B367" s="23"/>
      <c r="C367" s="14">
        <v>0</v>
      </c>
      <c r="D367" s="14">
        <v>0</v>
      </c>
      <c r="E367" s="14">
        <v>0</v>
      </c>
      <c r="F367" s="14">
        <v>0</v>
      </c>
      <c r="G367" s="14">
        <v>0</v>
      </c>
      <c r="H367" s="23"/>
      <c r="I367" s="14">
        <v>0</v>
      </c>
      <c r="J367" s="14">
        <v>0</v>
      </c>
      <c r="K367" s="14">
        <v>0</v>
      </c>
      <c r="L367" s="14">
        <v>0</v>
      </c>
      <c r="M367" s="14">
        <v>0</v>
      </c>
      <c r="N367" s="23"/>
      <c r="O367" s="5">
        <f t="shared" si="31"/>
        <v>360</v>
      </c>
      <c r="P367" s="15">
        <f t="shared" ca="1" si="32"/>
        <v>0</v>
      </c>
      <c r="Q367" s="5">
        <f ca="1">IF(O367&gt;$D$2,0,IF($F$2=Choices!$A$2,IF(O367&gt;$E$2,OFFSET(LiborCurve!$A$1,O367,0)+$C$2,$B$2),$B$2))</f>
        <v>0</v>
      </c>
      <c r="R367" s="14">
        <f t="shared" ca="1" si="33"/>
        <v>0</v>
      </c>
      <c r="S367" s="14">
        <f>IF(O367&gt;$D$2,0,IF($G$2=Choices!$B$1,-PMT(Q367/12,$D$2-(O367-1),P367),0))</f>
        <v>0</v>
      </c>
      <c r="T367" s="14">
        <f ca="1">IF(AND($G$2=Choices!$B$2,O367=$D$2),P367,IF(AND($G$2=Choices!$B$2,O367&lt;$D$2),0,S367-R367))</f>
        <v>0</v>
      </c>
      <c r="U367" s="14">
        <f t="shared" ca="1" si="34"/>
        <v>0</v>
      </c>
      <c r="V367" s="14">
        <f t="shared" ca="1" si="35"/>
        <v>0</v>
      </c>
    </row>
    <row r="368" spans="1:22" x14ac:dyDescent="0.2">
      <c r="A368" s="26" t="s">
        <v>25</v>
      </c>
      <c r="B368" s="25"/>
      <c r="C368" s="25"/>
      <c r="D368" s="25"/>
      <c r="E368" s="25"/>
      <c r="F368" s="23"/>
      <c r="G368" s="23"/>
      <c r="H368" s="23"/>
      <c r="I368" s="23"/>
      <c r="J368" s="23"/>
      <c r="K368" s="23"/>
      <c r="L368" s="23"/>
      <c r="M368" s="23"/>
      <c r="N368" s="23"/>
      <c r="O368" s="24"/>
      <c r="P368" s="23"/>
      <c r="Q368" s="23"/>
      <c r="R368" s="23"/>
      <c r="S368" s="23"/>
      <c r="T368" s="23"/>
      <c r="U368" s="23"/>
      <c r="V368" s="23"/>
    </row>
    <row r="369" spans="1:5" x14ac:dyDescent="0.2">
      <c r="A369" s="3"/>
      <c r="B369" s="3"/>
      <c r="C369" s="3"/>
      <c r="D369" s="3"/>
      <c r="E369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M369"/>
  <sheetViews>
    <sheetView showGridLines="0" workbookViewId="0">
      <selection activeCell="C16" sqref="C16"/>
    </sheetView>
  </sheetViews>
  <sheetFormatPr defaultRowHeight="12.75" x14ac:dyDescent="0.2"/>
  <cols>
    <col min="2" max="2" width="12.6640625" bestFit="1" customWidth="1"/>
    <col min="3" max="3" width="9.6640625" bestFit="1" customWidth="1"/>
    <col min="4" max="4" width="11.83203125" bestFit="1" customWidth="1"/>
    <col min="5" max="5" width="13.33203125" bestFit="1" customWidth="1"/>
    <col min="6" max="6" width="18.1640625" bestFit="1" customWidth="1"/>
    <col min="7" max="7" width="19.1640625" bestFit="1" customWidth="1"/>
    <col min="8" max="8" width="15.33203125" bestFit="1" customWidth="1"/>
    <col min="9" max="9" width="7.6640625" bestFit="1" customWidth="1"/>
    <col min="10" max="10" width="10.6640625" bestFit="1" customWidth="1"/>
    <col min="11" max="11" width="19.1640625" bestFit="1" customWidth="1"/>
    <col min="12" max="12" width="17.83203125" bestFit="1" customWidth="1"/>
    <col min="13" max="13" width="17" bestFit="1" customWidth="1"/>
    <col min="14" max="14" width="12.83203125" bestFit="1" customWidth="1"/>
    <col min="15" max="15" width="12.83203125" customWidth="1"/>
  </cols>
  <sheetData>
    <row r="2" spans="1:13" x14ac:dyDescent="0.2">
      <c r="M2" s="12" t="s">
        <v>26</v>
      </c>
    </row>
    <row r="3" spans="1:13" x14ac:dyDescent="0.2">
      <c r="L3" s="28" t="str">
        <f>'C# Excel'!C6</f>
        <v>1 - C# and ExcelDNA</v>
      </c>
      <c r="M3" s="31">
        <f ca="1">'C# Excel'!G5</f>
        <v>320.55342142074011</v>
      </c>
    </row>
    <row r="4" spans="1:13" x14ac:dyDescent="0.2">
      <c r="L4" s="28" t="str">
        <f>'C# Excel'!I6</f>
        <v>2 - C#, ExcelDNA and managing object lifetime</v>
      </c>
      <c r="M4" s="31">
        <f ca="1">'C# Excel'!M5</f>
        <v>320.55342142074011</v>
      </c>
    </row>
    <row r="5" spans="1:13" x14ac:dyDescent="0.2">
      <c r="B5" s="12" t="s">
        <v>0</v>
      </c>
      <c r="C5" s="12" t="s">
        <v>1</v>
      </c>
      <c r="D5" s="12" t="s">
        <v>2</v>
      </c>
      <c r="E5" s="12" t="s">
        <v>8</v>
      </c>
      <c r="F5" s="12" t="s">
        <v>9</v>
      </c>
      <c r="G5" s="12" t="s">
        <v>11</v>
      </c>
      <c r="H5" s="12" t="s">
        <v>12</v>
      </c>
      <c r="L5" s="29" t="str">
        <f>'C# Excel'!O6</f>
        <v>3 - Excel</v>
      </c>
      <c r="M5" s="31">
        <f ca="1">'C# Excel'!V5</f>
        <v>320.55342142074068</v>
      </c>
    </row>
    <row r="6" spans="1:13" x14ac:dyDescent="0.2">
      <c r="B6" s="17">
        <v>377</v>
      </c>
      <c r="C6" s="18">
        <v>0.08</v>
      </c>
      <c r="D6" s="18">
        <v>1.8200000000000001E-2</v>
      </c>
      <c r="E6" s="19">
        <v>120</v>
      </c>
      <c r="F6" s="19">
        <v>24</v>
      </c>
      <c r="G6" s="9" t="s">
        <v>16</v>
      </c>
      <c r="H6" s="10" t="s">
        <v>7</v>
      </c>
      <c r="L6" s="30" t="s">
        <v>27</v>
      </c>
      <c r="M6" s="31">
        <f ca="1">F8</f>
        <v>320.55342142074011</v>
      </c>
    </row>
    <row r="7" spans="1:13" x14ac:dyDescent="0.2">
      <c r="E7" s="1"/>
      <c r="F7" s="12" t="s">
        <v>26</v>
      </c>
    </row>
    <row r="8" spans="1:13" x14ac:dyDescent="0.2">
      <c r="E8" s="1"/>
      <c r="F8" s="27">
        <f ca="1">OFFSET(F9,$F$6+1,0)</f>
        <v>320.55342142074011</v>
      </c>
    </row>
    <row r="9" spans="1:13" x14ac:dyDescent="0.2">
      <c r="A9" s="12" t="s">
        <v>15</v>
      </c>
      <c r="B9" s="12" t="s">
        <v>3</v>
      </c>
      <c r="C9" s="12" t="s">
        <v>4</v>
      </c>
      <c r="D9" s="12" t="s">
        <v>5</v>
      </c>
      <c r="E9" s="12" t="s">
        <v>10</v>
      </c>
      <c r="F9" s="12" t="s">
        <v>6</v>
      </c>
      <c r="H9" s="2"/>
    </row>
    <row r="10" spans="1:13" x14ac:dyDescent="0.2">
      <c r="A10" s="8">
        <v>1</v>
      </c>
      <c r="B10" s="4">
        <v>377</v>
      </c>
      <c r="C10" s="4">
        <v>2.5133333333333332</v>
      </c>
      <c r="D10" s="4">
        <v>2.0607169738636544</v>
      </c>
      <c r="E10" s="4">
        <v>4.5740503071969876</v>
      </c>
      <c r="F10" s="4">
        <v>374.93928302613637</v>
      </c>
      <c r="H10" s="2"/>
    </row>
    <row r="11" spans="1:13" x14ac:dyDescent="0.2">
      <c r="A11" s="5">
        <f>A10+1</f>
        <v>2</v>
      </c>
      <c r="B11" s="4">
        <v>374.93928302613637</v>
      </c>
      <c r="C11" s="4">
        <v>2.4995952201742426</v>
      </c>
      <c r="D11" s="4">
        <v>2.0744550870227449</v>
      </c>
      <c r="E11" s="4">
        <v>4.5740503071969876</v>
      </c>
      <c r="F11" s="4">
        <v>372.86482793911364</v>
      </c>
    </row>
    <row r="12" spans="1:13" x14ac:dyDescent="0.2">
      <c r="A12" s="5">
        <f t="shared" ref="A12:A75" si="0">A11+1</f>
        <v>3</v>
      </c>
      <c r="B12" s="4">
        <v>372.86482793911364</v>
      </c>
      <c r="C12" s="4">
        <v>2.4857655195940911</v>
      </c>
      <c r="D12" s="4">
        <v>2.0882847876028956</v>
      </c>
      <c r="E12" s="4">
        <v>4.5740503071969867</v>
      </c>
      <c r="F12" s="4">
        <v>370.77654315151074</v>
      </c>
    </row>
    <row r="13" spans="1:13" x14ac:dyDescent="0.2">
      <c r="A13" s="5">
        <f t="shared" si="0"/>
        <v>4</v>
      </c>
      <c r="B13" s="4">
        <v>370.77654315151074</v>
      </c>
      <c r="C13" s="4">
        <v>2.4718436210100716</v>
      </c>
      <c r="D13" s="4">
        <v>2.1022066861869151</v>
      </c>
      <c r="E13" s="4">
        <v>4.5740503071969867</v>
      </c>
      <c r="F13" s="4">
        <v>368.67433646532385</v>
      </c>
    </row>
    <row r="14" spans="1:13" x14ac:dyDescent="0.2">
      <c r="A14" s="5">
        <f t="shared" si="0"/>
        <v>5</v>
      </c>
      <c r="B14" s="4">
        <v>368.67433646532385</v>
      </c>
      <c r="C14" s="4">
        <v>2.4578289097688257</v>
      </c>
      <c r="D14" s="4">
        <v>2.116221397428161</v>
      </c>
      <c r="E14" s="4">
        <v>4.5740503071969867</v>
      </c>
      <c r="F14" s="4">
        <v>366.5581150678957</v>
      </c>
    </row>
    <row r="15" spans="1:13" x14ac:dyDescent="0.2">
      <c r="A15" s="5">
        <f t="shared" si="0"/>
        <v>6</v>
      </c>
      <c r="B15" s="4">
        <v>366.5581150678957</v>
      </c>
      <c r="C15" s="4">
        <v>2.4437207671193049</v>
      </c>
      <c r="D15" s="4">
        <v>2.1303295400776818</v>
      </c>
      <c r="E15" s="4">
        <v>4.5740503071969867</v>
      </c>
      <c r="F15" s="4">
        <v>364.427785527818</v>
      </c>
    </row>
    <row r="16" spans="1:13" x14ac:dyDescent="0.2">
      <c r="A16" s="5">
        <f t="shared" si="0"/>
        <v>7</v>
      </c>
      <c r="B16" s="4">
        <v>364.427785527818</v>
      </c>
      <c r="C16" s="4">
        <v>2.4295185701854534</v>
      </c>
      <c r="D16" s="4">
        <v>2.1445317370115324</v>
      </c>
      <c r="E16" s="4">
        <v>4.5740503071969858</v>
      </c>
      <c r="F16" s="4">
        <v>362.2832537908065</v>
      </c>
    </row>
    <row r="17" spans="1:6" x14ac:dyDescent="0.2">
      <c r="A17" s="5">
        <f t="shared" si="0"/>
        <v>8</v>
      </c>
      <c r="B17" s="4">
        <v>362.2832537908065</v>
      </c>
      <c r="C17" s="4">
        <v>2.4152216919387102</v>
      </c>
      <c r="D17" s="4">
        <v>2.1588286152582765</v>
      </c>
      <c r="E17" s="4">
        <v>4.5740503071969867</v>
      </c>
      <c r="F17" s="4">
        <v>360.1244251755482</v>
      </c>
    </row>
    <row r="18" spans="1:6" x14ac:dyDescent="0.2">
      <c r="A18" s="5">
        <f t="shared" si="0"/>
        <v>9</v>
      </c>
      <c r="B18" s="4">
        <v>360.1244251755482</v>
      </c>
      <c r="C18" s="4">
        <v>2.4008295011703216</v>
      </c>
      <c r="D18" s="4">
        <v>2.1732208060266642</v>
      </c>
      <c r="E18" s="4">
        <v>4.5740503071969858</v>
      </c>
      <c r="F18" s="4">
        <v>357.95120436952152</v>
      </c>
    </row>
    <row r="19" spans="1:6" x14ac:dyDescent="0.2">
      <c r="A19" s="5">
        <f t="shared" si="0"/>
        <v>10</v>
      </c>
      <c r="B19" s="4">
        <v>357.95120436952152</v>
      </c>
      <c r="C19" s="4">
        <v>2.3863413624634768</v>
      </c>
      <c r="D19" s="4">
        <v>2.187708944733509</v>
      </c>
      <c r="E19" s="4">
        <v>4.5740503071969858</v>
      </c>
      <c r="F19" s="4">
        <v>355.763495424788</v>
      </c>
    </row>
    <row r="20" spans="1:6" x14ac:dyDescent="0.2">
      <c r="A20" s="5">
        <f t="shared" si="0"/>
        <v>11</v>
      </c>
      <c r="B20" s="4">
        <v>355.763495424788</v>
      </c>
      <c r="C20" s="4">
        <v>2.3717566361652533</v>
      </c>
      <c r="D20" s="4">
        <v>2.2022936710317316</v>
      </c>
      <c r="E20" s="4">
        <v>4.5740503071969849</v>
      </c>
      <c r="F20" s="4">
        <v>353.56120175375628</v>
      </c>
    </row>
    <row r="21" spans="1:6" x14ac:dyDescent="0.2">
      <c r="A21" s="5">
        <f t="shared" si="0"/>
        <v>12</v>
      </c>
      <c r="B21" s="4">
        <v>353.56120175375628</v>
      </c>
      <c r="C21" s="4">
        <v>2.3570746783583751</v>
      </c>
      <c r="D21" s="4">
        <v>2.2169756288386098</v>
      </c>
      <c r="E21" s="4">
        <v>4.5740503071969849</v>
      </c>
      <c r="F21" s="4">
        <v>351.34422612491767</v>
      </c>
    </row>
    <row r="22" spans="1:6" x14ac:dyDescent="0.2">
      <c r="A22" s="5">
        <f t="shared" si="0"/>
        <v>13</v>
      </c>
      <c r="B22" s="4">
        <v>351.34422612491767</v>
      </c>
      <c r="C22" s="4">
        <v>2.3422948408327846</v>
      </c>
      <c r="D22" s="4">
        <v>2.2317554663641994</v>
      </c>
      <c r="E22" s="4">
        <v>4.574050307196984</v>
      </c>
      <c r="F22" s="4">
        <v>349.11247065855349</v>
      </c>
    </row>
    <row r="23" spans="1:6" x14ac:dyDescent="0.2">
      <c r="A23" s="5">
        <f t="shared" si="0"/>
        <v>14</v>
      </c>
      <c r="B23" s="4">
        <v>349.11247065855349</v>
      </c>
      <c r="C23" s="4">
        <v>2.3274164710570235</v>
      </c>
      <c r="D23" s="4">
        <v>2.2466338361399605</v>
      </c>
      <c r="E23" s="4">
        <v>4.574050307196984</v>
      </c>
      <c r="F23" s="4">
        <v>346.86583682241354</v>
      </c>
    </row>
    <row r="24" spans="1:6" x14ac:dyDescent="0.2">
      <c r="A24" s="5">
        <f t="shared" si="0"/>
        <v>15</v>
      </c>
      <c r="B24" s="4">
        <v>346.86583682241354</v>
      </c>
      <c r="C24" s="4">
        <v>2.3124389121494238</v>
      </c>
      <c r="D24" s="4">
        <v>2.2616113950475603</v>
      </c>
      <c r="E24" s="4">
        <v>4.574050307196984</v>
      </c>
      <c r="F24" s="4">
        <v>344.60422542736598</v>
      </c>
    </row>
    <row r="25" spans="1:6" x14ac:dyDescent="0.2">
      <c r="A25" s="5">
        <f t="shared" si="0"/>
        <v>16</v>
      </c>
      <c r="B25" s="4">
        <v>344.60422542736598</v>
      </c>
      <c r="C25" s="4">
        <v>2.2973615028491063</v>
      </c>
      <c r="D25" s="4">
        <v>2.2766888043478768</v>
      </c>
      <c r="E25" s="4">
        <v>4.5740503071969831</v>
      </c>
      <c r="F25" s="4">
        <v>342.32753662301809</v>
      </c>
    </row>
    <row r="26" spans="1:6" x14ac:dyDescent="0.2">
      <c r="A26" s="5">
        <f t="shared" si="0"/>
        <v>17</v>
      </c>
      <c r="B26" s="4">
        <v>342.32753662301809</v>
      </c>
      <c r="C26" s="4">
        <v>2.2821835774867871</v>
      </c>
      <c r="D26" s="4">
        <v>2.291866729710196</v>
      </c>
      <c r="E26" s="4">
        <v>4.5740503071969831</v>
      </c>
      <c r="F26" s="4">
        <v>340.0356698933079</v>
      </c>
    </row>
    <row r="27" spans="1:6" x14ac:dyDescent="0.2">
      <c r="A27" s="5">
        <f t="shared" si="0"/>
        <v>18</v>
      </c>
      <c r="B27" s="4">
        <v>340.0356698933079</v>
      </c>
      <c r="C27" s="4">
        <v>2.2669044659553861</v>
      </c>
      <c r="D27" s="4">
        <v>2.3071458412415971</v>
      </c>
      <c r="E27" s="4">
        <v>4.5740503071969831</v>
      </c>
      <c r="F27" s="4">
        <v>337.72852405206629</v>
      </c>
    </row>
    <row r="28" spans="1:6" x14ac:dyDescent="0.2">
      <c r="A28" s="5">
        <f t="shared" si="0"/>
        <v>19</v>
      </c>
      <c r="B28" s="4">
        <v>337.72852405206629</v>
      </c>
      <c r="C28" s="4">
        <v>2.251523493680442</v>
      </c>
      <c r="D28" s="4">
        <v>2.3225268135165402</v>
      </c>
      <c r="E28" s="4">
        <v>4.5740503071969822</v>
      </c>
      <c r="F28" s="4">
        <v>335.40599723854973</v>
      </c>
    </row>
    <row r="29" spans="1:6" x14ac:dyDescent="0.2">
      <c r="A29" s="5">
        <f t="shared" si="0"/>
        <v>20</v>
      </c>
      <c r="B29" s="4">
        <v>335.40599723854973</v>
      </c>
      <c r="C29" s="4">
        <v>2.2360399815903316</v>
      </c>
      <c r="D29" s="4">
        <v>2.3380103256066507</v>
      </c>
      <c r="E29" s="4">
        <v>4.5740503071969822</v>
      </c>
      <c r="F29" s="4">
        <v>333.06798691294307</v>
      </c>
    </row>
    <row r="30" spans="1:6" x14ac:dyDescent="0.2">
      <c r="A30" s="5">
        <f t="shared" si="0"/>
        <v>21</v>
      </c>
      <c r="B30" s="4">
        <v>333.06798691294307</v>
      </c>
      <c r="C30" s="4">
        <v>2.2204532460862874</v>
      </c>
      <c r="D30" s="4">
        <v>2.353597061110694</v>
      </c>
      <c r="E30" s="4">
        <v>4.5740503071969814</v>
      </c>
      <c r="F30" s="4">
        <v>330.71438985183238</v>
      </c>
    </row>
    <row r="31" spans="1:6" x14ac:dyDescent="0.2">
      <c r="A31" s="5">
        <f t="shared" si="0"/>
        <v>22</v>
      </c>
      <c r="B31" s="4">
        <v>330.71438985183238</v>
      </c>
      <c r="C31" s="4">
        <v>2.2047625990122159</v>
      </c>
      <c r="D31" s="4">
        <v>2.3692877081847654</v>
      </c>
      <c r="E31" s="4">
        <v>4.5740503071969814</v>
      </c>
      <c r="F31" s="4">
        <v>328.34510214364764</v>
      </c>
    </row>
    <row r="32" spans="1:6" x14ac:dyDescent="0.2">
      <c r="A32" s="5">
        <f t="shared" si="0"/>
        <v>23</v>
      </c>
      <c r="B32" s="4">
        <v>328.34510214364764</v>
      </c>
      <c r="C32" s="4">
        <v>2.1889673476243177</v>
      </c>
      <c r="D32" s="4">
        <v>2.3850829595726637</v>
      </c>
      <c r="E32" s="4">
        <v>4.5740503071969814</v>
      </c>
      <c r="F32" s="4">
        <v>325.96001918407495</v>
      </c>
    </row>
    <row r="33" spans="1:6" x14ac:dyDescent="0.2">
      <c r="A33" s="5">
        <f t="shared" si="0"/>
        <v>24</v>
      </c>
      <c r="B33" s="4">
        <v>325.96001918407495</v>
      </c>
      <c r="C33" s="4">
        <v>2.1730667945604996</v>
      </c>
      <c r="D33" s="4">
        <v>2.4009835126364809</v>
      </c>
      <c r="E33" s="4">
        <v>4.5740503071969805</v>
      </c>
      <c r="F33" s="4">
        <v>323.55903567143849</v>
      </c>
    </row>
    <row r="34" spans="1:6" x14ac:dyDescent="0.2">
      <c r="A34" s="5">
        <f t="shared" si="0"/>
        <v>25</v>
      </c>
      <c r="B34" s="4">
        <v>323.55903567143849</v>
      </c>
      <c r="C34" s="4">
        <v>0.76656528201158303</v>
      </c>
      <c r="D34" s="4">
        <v>3.0056142506983714</v>
      </c>
      <c r="E34" s="4">
        <v>3.7721795327099543</v>
      </c>
      <c r="F34" s="4">
        <v>320.55342142074011</v>
      </c>
    </row>
    <row r="35" spans="1:6" x14ac:dyDescent="0.2">
      <c r="A35" s="5">
        <f t="shared" si="0"/>
        <v>26</v>
      </c>
      <c r="B35" s="4">
        <v>320.55342142074011</v>
      </c>
      <c r="C35" s="4">
        <v>0.78321885967134164</v>
      </c>
      <c r="D35" s="4">
        <v>3.0018754702451744</v>
      </c>
      <c r="E35" s="4">
        <v>3.7850943299165163</v>
      </c>
      <c r="F35" s="4">
        <v>317.55154595049493</v>
      </c>
    </row>
    <row r="36" spans="1:6" x14ac:dyDescent="0.2">
      <c r="A36" s="5">
        <f t="shared" si="0"/>
        <v>27</v>
      </c>
      <c r="B36" s="4">
        <v>317.55154595049493</v>
      </c>
      <c r="C36" s="4">
        <v>0.79811288548891068</v>
      </c>
      <c r="D36" s="4">
        <v>2.9990738111726634</v>
      </c>
      <c r="E36" s="4">
        <v>3.7971866966615742</v>
      </c>
      <c r="F36" s="4">
        <v>314.55247213932228</v>
      </c>
    </row>
    <row r="37" spans="1:6" x14ac:dyDescent="0.2">
      <c r="A37" s="5">
        <f t="shared" si="0"/>
        <v>28</v>
      </c>
      <c r="B37" s="4">
        <v>314.55247213932228</v>
      </c>
      <c r="C37" s="4">
        <v>0.81154537811945138</v>
      </c>
      <c r="D37" s="4">
        <v>2.9970636954526655</v>
      </c>
      <c r="E37" s="4">
        <v>3.808609073572117</v>
      </c>
      <c r="F37" s="4">
        <v>311.55540844386962</v>
      </c>
    </row>
    <row r="38" spans="1:6" x14ac:dyDescent="0.2">
      <c r="A38" s="5">
        <f t="shared" si="0"/>
        <v>29</v>
      </c>
      <c r="B38" s="4">
        <v>311.55540844386962</v>
      </c>
      <c r="C38" s="4">
        <v>0.82302553730588912</v>
      </c>
      <c r="D38" s="4">
        <v>2.9960603148667411</v>
      </c>
      <c r="E38" s="4">
        <v>3.8190858521726301</v>
      </c>
      <c r="F38" s="4">
        <v>308.5593481290029</v>
      </c>
    </row>
    <row r="39" spans="1:6" x14ac:dyDescent="0.2">
      <c r="A39" s="5">
        <f t="shared" si="0"/>
        <v>30</v>
      </c>
      <c r="B39" s="4">
        <v>308.5593481290029</v>
      </c>
      <c r="C39" s="4">
        <v>0.8331102399483078</v>
      </c>
      <c r="D39" s="4">
        <v>2.9958002954414837</v>
      </c>
      <c r="E39" s="4">
        <v>3.8289105353897916</v>
      </c>
      <c r="F39" s="4">
        <v>305.56354783356142</v>
      </c>
    </row>
    <row r="40" spans="1:6" x14ac:dyDescent="0.2">
      <c r="A40" s="5">
        <f t="shared" si="0"/>
        <v>31</v>
      </c>
      <c r="B40" s="4">
        <v>305.56354783356142</v>
      </c>
      <c r="C40" s="4">
        <v>0.84157293799160027</v>
      </c>
      <c r="D40" s="4">
        <v>2.996379468109069</v>
      </c>
      <c r="E40" s="4">
        <v>3.8379524061006691</v>
      </c>
      <c r="F40" s="4">
        <v>302.56716836545235</v>
      </c>
    </row>
    <row r="41" spans="1:6" x14ac:dyDescent="0.2">
      <c r="A41" s="5">
        <f t="shared" si="0"/>
        <v>32</v>
      </c>
      <c r="B41" s="4">
        <v>302.56716836545235</v>
      </c>
      <c r="C41" s="4">
        <v>0.84844876795812263</v>
      </c>
      <c r="D41" s="4">
        <v>2.9977738262732827</v>
      </c>
      <c r="E41" s="4">
        <v>3.8462225942314054</v>
      </c>
      <c r="F41" s="4">
        <v>299.56939453917909</v>
      </c>
    </row>
    <row r="42" spans="1:6" x14ac:dyDescent="0.2">
      <c r="A42" s="5">
        <f t="shared" si="0"/>
        <v>33</v>
      </c>
      <c r="B42" s="4">
        <v>299.56939453917909</v>
      </c>
      <c r="C42" s="4">
        <v>0.85352313327454432</v>
      </c>
      <c r="D42" s="4">
        <v>3.000072845406673</v>
      </c>
      <c r="E42" s="4">
        <v>3.8535959786812173</v>
      </c>
      <c r="F42" s="4">
        <v>296.56932169377239</v>
      </c>
    </row>
    <row r="43" spans="1:6" x14ac:dyDescent="0.2">
      <c r="A43" s="5">
        <f t="shared" si="0"/>
        <v>34</v>
      </c>
      <c r="B43" s="4">
        <v>296.56932169377239</v>
      </c>
      <c r="C43" s="4">
        <v>0.85733248079641367</v>
      </c>
      <c r="D43" s="4">
        <v>3.0030250492799029</v>
      </c>
      <c r="E43" s="4">
        <v>3.8603575300763167</v>
      </c>
      <c r="F43" s="4">
        <v>293.56629664449247</v>
      </c>
    </row>
    <row r="44" spans="1:6" x14ac:dyDescent="0.2">
      <c r="A44" s="5">
        <f t="shared" si="0"/>
        <v>35</v>
      </c>
      <c r="B44" s="4">
        <v>293.56629664449247</v>
      </c>
      <c r="C44" s="4">
        <v>0.85965997200728894</v>
      </c>
      <c r="D44" s="4">
        <v>3.0067230269117973</v>
      </c>
      <c r="E44" s="4">
        <v>3.8663829989190863</v>
      </c>
      <c r="F44" s="4">
        <v>290.55957361758067</v>
      </c>
    </row>
    <row r="45" spans="1:6" x14ac:dyDescent="0.2">
      <c r="A45" s="5">
        <f t="shared" si="0"/>
        <v>36</v>
      </c>
      <c r="B45" s="4">
        <v>290.55957361758067</v>
      </c>
      <c r="C45" s="4">
        <v>0.86054060386406817</v>
      </c>
      <c r="D45" s="4">
        <v>3.0111443231316279</v>
      </c>
      <c r="E45" s="4">
        <v>3.8716849269956963</v>
      </c>
      <c r="F45" s="4">
        <v>287.54842929444902</v>
      </c>
    </row>
    <row r="46" spans="1:6" x14ac:dyDescent="0.2">
      <c r="A46" s="5">
        <f t="shared" si="0"/>
        <v>37</v>
      </c>
      <c r="B46" s="4">
        <v>287.54842929444902</v>
      </c>
      <c r="C46" s="4">
        <v>0.86000942728148144</v>
      </c>
      <c r="D46" s="4">
        <v>3.0162667442648678</v>
      </c>
      <c r="E46" s="4">
        <v>3.8762761715463494</v>
      </c>
      <c r="F46" s="4">
        <v>284.53216255018418</v>
      </c>
    </row>
    <row r="47" spans="1:6" x14ac:dyDescent="0.2">
      <c r="A47" s="5">
        <f t="shared" si="0"/>
        <v>38</v>
      </c>
      <c r="B47" s="4">
        <v>284.53216255018418</v>
      </c>
      <c r="C47" s="4">
        <v>0.8578644700888054</v>
      </c>
      <c r="D47" s="4">
        <v>3.0221755909108072</v>
      </c>
      <c r="E47" s="4">
        <v>3.8800400609996126</v>
      </c>
      <c r="F47" s="4">
        <v>281.50998695927336</v>
      </c>
    </row>
    <row r="48" spans="1:6" x14ac:dyDescent="0.2">
      <c r="A48" s="5">
        <f t="shared" si="0"/>
        <v>39</v>
      </c>
      <c r="B48" s="4">
        <v>281.50998695927336</v>
      </c>
      <c r="C48" s="4">
        <v>0.85602495201199025</v>
      </c>
      <c r="D48" s="4">
        <v>3.0279952239738126</v>
      </c>
      <c r="E48" s="4">
        <v>3.8840201759858028</v>
      </c>
      <c r="F48" s="4">
        <v>278.48199173529957</v>
      </c>
    </row>
    <row r="49" spans="1:6" x14ac:dyDescent="0.2">
      <c r="A49" s="5">
        <f t="shared" si="0"/>
        <v>40</v>
      </c>
      <c r="B49" s="4">
        <v>278.48199173529957</v>
      </c>
      <c r="C49" s="4">
        <v>0.85401144132158535</v>
      </c>
      <c r="D49" s="4">
        <v>3.0339454612223591</v>
      </c>
      <c r="E49" s="4">
        <v>3.8879569025439444</v>
      </c>
      <c r="F49" s="4">
        <v>275.44804627407723</v>
      </c>
    </row>
    <row r="50" spans="1:6" x14ac:dyDescent="0.2">
      <c r="A50" s="5">
        <f t="shared" si="0"/>
        <v>41</v>
      </c>
      <c r="B50" s="4">
        <v>275.44804627407723</v>
      </c>
      <c r="C50" s="4">
        <v>0.8520526231411456</v>
      </c>
      <c r="D50" s="4">
        <v>3.0399231266621562</v>
      </c>
      <c r="E50" s="4">
        <v>3.8919757498033016</v>
      </c>
      <c r="F50" s="4">
        <v>272.4081231474151</v>
      </c>
    </row>
    <row r="51" spans="1:6" x14ac:dyDescent="0.2">
      <c r="A51" s="5">
        <f t="shared" si="0"/>
        <v>42</v>
      </c>
      <c r="B51" s="4">
        <v>272.4081231474151</v>
      </c>
      <c r="C51" s="4">
        <v>0.85036735775851424</v>
      </c>
      <c r="D51" s="4">
        <v>3.045830737446924</v>
      </c>
      <c r="E51" s="4">
        <v>3.8961980952054382</v>
      </c>
      <c r="F51" s="4">
        <v>269.36229240996818</v>
      </c>
    </row>
    <row r="52" spans="1:6" x14ac:dyDescent="0.2">
      <c r="A52" s="5">
        <f t="shared" si="0"/>
        <v>43</v>
      </c>
      <c r="B52" s="4">
        <v>269.36229240996818</v>
      </c>
      <c r="C52" s="4">
        <v>0.84849122109139974</v>
      </c>
      <c r="D52" s="4">
        <v>3.0518814883885597</v>
      </c>
      <c r="E52" s="4">
        <v>3.9003727094799592</v>
      </c>
      <c r="F52" s="4">
        <v>266.3104109215796</v>
      </c>
    </row>
    <row r="53" spans="1:6" x14ac:dyDescent="0.2">
      <c r="A53" s="5">
        <f t="shared" si="0"/>
        <v>44</v>
      </c>
      <c r="B53" s="4">
        <v>266.3104109215796</v>
      </c>
      <c r="C53" s="4">
        <v>0.84664518138818856</v>
      </c>
      <c r="D53" s="4">
        <v>3.0579756904234348</v>
      </c>
      <c r="E53" s="4">
        <v>3.9046208718116233</v>
      </c>
      <c r="F53" s="4">
        <v>263.25243523115614</v>
      </c>
    </row>
    <row r="54" spans="1:6" x14ac:dyDescent="0.2">
      <c r="A54" s="5">
        <f t="shared" si="0"/>
        <v>45</v>
      </c>
      <c r="B54" s="4">
        <v>263.25243523115614</v>
      </c>
      <c r="C54" s="4">
        <v>0.84482094006265196</v>
      </c>
      <c r="D54" s="4">
        <v>3.0641187662691802</v>
      </c>
      <c r="E54" s="4">
        <v>3.9089397063318323</v>
      </c>
      <c r="F54" s="4">
        <v>260.18831646488695</v>
      </c>
    </row>
    <row r="55" spans="1:6" x14ac:dyDescent="0.2">
      <c r="A55" s="5">
        <f t="shared" si="0"/>
        <v>46</v>
      </c>
      <c r="B55" s="4">
        <v>260.18831646488695</v>
      </c>
      <c r="C55" s="4">
        <v>0.84279332174917965</v>
      </c>
      <c r="D55" s="4">
        <v>3.0704144083875455</v>
      </c>
      <c r="E55" s="4">
        <v>3.9132077301367252</v>
      </c>
      <c r="F55" s="4">
        <v>257.11790205649942</v>
      </c>
    </row>
    <row r="56" spans="1:6" x14ac:dyDescent="0.2">
      <c r="A56" s="5">
        <f t="shared" si="0"/>
        <v>47</v>
      </c>
      <c r="B56" s="4">
        <v>257.11790205649942</v>
      </c>
      <c r="C56" s="4">
        <v>0.84098980464313366</v>
      </c>
      <c r="D56" s="4">
        <v>3.0766693539648164</v>
      </c>
      <c r="E56" s="4">
        <v>3.9176591586079503</v>
      </c>
      <c r="F56" s="4">
        <v>254.04123270253461</v>
      </c>
    </row>
    <row r="57" spans="1:6" x14ac:dyDescent="0.2">
      <c r="A57" s="5">
        <f t="shared" si="0"/>
        <v>48</v>
      </c>
      <c r="B57" s="4">
        <v>254.04123270253461</v>
      </c>
      <c r="C57" s="4">
        <v>0.83897117100012053</v>
      </c>
      <c r="D57" s="4">
        <v>3.0830856315232378</v>
      </c>
      <c r="E57" s="4">
        <v>3.9220568025233584</v>
      </c>
      <c r="F57" s="4">
        <v>250.95814707101138</v>
      </c>
    </row>
    <row r="58" spans="1:6" x14ac:dyDescent="0.2">
      <c r="A58" s="5">
        <f t="shared" si="0"/>
        <v>49</v>
      </c>
      <c r="B58" s="4">
        <v>250.95814707101138</v>
      </c>
      <c r="C58" s="4">
        <v>0.83715455227104874</v>
      </c>
      <c r="D58" s="4">
        <v>3.0894746467510705</v>
      </c>
      <c r="E58" s="4">
        <v>3.9266291990221194</v>
      </c>
      <c r="F58" s="4">
        <v>247.86867242426032</v>
      </c>
    </row>
    <row r="59" spans="1:6" x14ac:dyDescent="0.2">
      <c r="A59" s="5">
        <f t="shared" si="0"/>
        <v>50</v>
      </c>
      <c r="B59" s="4">
        <v>247.86867242426032</v>
      </c>
      <c r="C59" s="4">
        <v>0.835110868842737</v>
      </c>
      <c r="D59" s="4">
        <v>3.0960339346919179</v>
      </c>
      <c r="E59" s="4">
        <v>3.931144803534655</v>
      </c>
      <c r="F59" s="4">
        <v>244.77263848956841</v>
      </c>
    </row>
    <row r="60" spans="1:6" x14ac:dyDescent="0.2">
      <c r="A60" s="5">
        <f t="shared" si="0"/>
        <v>51</v>
      </c>
      <c r="B60" s="4">
        <v>244.77263848956841</v>
      </c>
      <c r="C60" s="4">
        <v>0.83283890246075665</v>
      </c>
      <c r="D60" s="4">
        <v>3.1027645394859595</v>
      </c>
      <c r="E60" s="4">
        <v>3.9356034419467161</v>
      </c>
      <c r="F60" s="4">
        <v>241.66987395008246</v>
      </c>
    </row>
    <row r="61" spans="1:6" x14ac:dyDescent="0.2">
      <c r="A61" s="5">
        <f t="shared" si="0"/>
        <v>52</v>
      </c>
      <c r="B61" s="4">
        <v>241.66987395008246</v>
      </c>
      <c r="C61" s="4">
        <v>0.83013601701853335</v>
      </c>
      <c r="D61" s="4">
        <v>3.1097588488767425</v>
      </c>
      <c r="E61" s="4">
        <v>3.9398948658952757</v>
      </c>
      <c r="F61" s="4">
        <v>238.56011510120572</v>
      </c>
    </row>
    <row r="62" spans="1:6" x14ac:dyDescent="0.2">
      <c r="A62" s="5">
        <f t="shared" si="0"/>
        <v>53</v>
      </c>
      <c r="B62" s="4">
        <v>238.56011510120572</v>
      </c>
      <c r="C62" s="4">
        <v>0.82700839901751311</v>
      </c>
      <c r="D62" s="4">
        <v>3.1170133005117533</v>
      </c>
      <c r="E62" s="4">
        <v>3.9440216995292663</v>
      </c>
      <c r="F62" s="4">
        <v>235.44310180069397</v>
      </c>
    </row>
    <row r="63" spans="1:6" x14ac:dyDescent="0.2">
      <c r="A63" s="5">
        <f t="shared" si="0"/>
        <v>54</v>
      </c>
      <c r="B63" s="4">
        <v>235.44310180069397</v>
      </c>
      <c r="C63" s="4">
        <v>0.82385465371759492</v>
      </c>
      <c r="D63" s="4">
        <v>3.1243463252569708</v>
      </c>
      <c r="E63" s="4">
        <v>3.9482009789745658</v>
      </c>
      <c r="F63" s="4">
        <v>232.318755475437</v>
      </c>
    </row>
    <row r="64" spans="1:6" x14ac:dyDescent="0.2">
      <c r="A64" s="5">
        <f t="shared" si="0"/>
        <v>55</v>
      </c>
      <c r="B64" s="4">
        <v>232.318755475437</v>
      </c>
      <c r="C64" s="4">
        <v>0.82008520682829256</v>
      </c>
      <c r="D64" s="4">
        <v>3.1320272665380195</v>
      </c>
      <c r="E64" s="4">
        <v>3.952112473366312</v>
      </c>
      <c r="F64" s="4">
        <v>229.18672820889898</v>
      </c>
    </row>
    <row r="65" spans="1:6" x14ac:dyDescent="0.2">
      <c r="A65" s="5">
        <f t="shared" si="0"/>
        <v>56</v>
      </c>
      <c r="B65" s="4">
        <v>229.18672820889898</v>
      </c>
      <c r="C65" s="4">
        <v>0.81609574136385454</v>
      </c>
      <c r="D65" s="4">
        <v>3.1398745442730784</v>
      </c>
      <c r="E65" s="4">
        <v>3.955970285636933</v>
      </c>
      <c r="F65" s="4">
        <v>226.0468536646259</v>
      </c>
    </row>
    <row r="66" spans="1:6" x14ac:dyDescent="0.2">
      <c r="A66" s="5">
        <f t="shared" si="0"/>
        <v>57</v>
      </c>
      <c r="B66" s="4">
        <v>226.0468536646259</v>
      </c>
      <c r="C66" s="4">
        <v>0.81188494941211464</v>
      </c>
      <c r="D66" s="4">
        <v>3.1478893144794822</v>
      </c>
      <c r="E66" s="4">
        <v>3.9597742638915969</v>
      </c>
      <c r="F66" s="4">
        <v>222.89896435014643</v>
      </c>
    </row>
    <row r="67" spans="1:6" x14ac:dyDescent="0.2">
      <c r="A67" s="5">
        <f t="shared" si="0"/>
        <v>58</v>
      </c>
      <c r="B67" s="4">
        <v>222.89896435014643</v>
      </c>
      <c r="C67" s="4">
        <v>0.807265749221447</v>
      </c>
      <c r="D67" s="4">
        <v>3.1561571272917224</v>
      </c>
      <c r="E67" s="4">
        <v>3.9634228765131692</v>
      </c>
      <c r="F67" s="4">
        <v>219.74280722285471</v>
      </c>
    </row>
    <row r="68" spans="1:6" x14ac:dyDescent="0.2">
      <c r="A68" s="5">
        <f t="shared" si="0"/>
        <v>59</v>
      </c>
      <c r="B68" s="4">
        <v>219.74280722285471</v>
      </c>
      <c r="C68" s="4">
        <v>0.80242748437545774</v>
      </c>
      <c r="D68" s="4">
        <v>3.1645912745488531</v>
      </c>
      <c r="E68" s="4">
        <v>3.9670187589243109</v>
      </c>
      <c r="F68" s="4">
        <v>216.57821594830585</v>
      </c>
    </row>
    <row r="69" spans="1:6" x14ac:dyDescent="0.2">
      <c r="A69" s="5">
        <f t="shared" si="0"/>
        <v>60</v>
      </c>
      <c r="B69" s="4">
        <v>216.57821594830585</v>
      </c>
      <c r="C69" s="4">
        <v>0.79718831653638911</v>
      </c>
      <c r="D69" s="4">
        <v>3.1732750066070912</v>
      </c>
      <c r="E69" s="4">
        <v>3.9704633231434805</v>
      </c>
      <c r="F69" s="4">
        <v>213.40494094169875</v>
      </c>
    </row>
    <row r="70" spans="1:6" x14ac:dyDescent="0.2">
      <c r="A70" s="5">
        <f t="shared" si="0"/>
        <v>61</v>
      </c>
      <c r="B70" s="4">
        <v>213.40494094169875</v>
      </c>
      <c r="C70" s="4">
        <v>0.79173233089370243</v>
      </c>
      <c r="D70" s="4">
        <v>3.1821239582956431</v>
      </c>
      <c r="E70" s="4">
        <v>3.9738562891893454</v>
      </c>
      <c r="F70" s="4">
        <v>210.22281698340311</v>
      </c>
    </row>
    <row r="71" spans="1:6" x14ac:dyDescent="0.2">
      <c r="A71" s="5">
        <f t="shared" si="0"/>
        <v>62</v>
      </c>
      <c r="B71" s="4">
        <v>210.22281698340311</v>
      </c>
      <c r="C71" s="4">
        <v>0.78588296415628855</v>
      </c>
      <c r="D71" s="4">
        <v>3.1912190670797709</v>
      </c>
      <c r="E71" s="4">
        <v>3.9771020312360594</v>
      </c>
      <c r="F71" s="4">
        <v>207.03159791632334</v>
      </c>
    </row>
    <row r="72" spans="1:6" x14ac:dyDescent="0.2">
      <c r="A72" s="5">
        <f t="shared" si="0"/>
        <v>63</v>
      </c>
      <c r="B72" s="4">
        <v>207.03159791632334</v>
      </c>
      <c r="C72" s="4">
        <v>0.77947396615495734</v>
      </c>
      <c r="D72" s="4">
        <v>3.2006353652331612</v>
      </c>
      <c r="E72" s="4">
        <v>3.9801093313881184</v>
      </c>
      <c r="F72" s="4">
        <v>203.83096255109018</v>
      </c>
    </row>
    <row r="73" spans="1:6" x14ac:dyDescent="0.2">
      <c r="A73" s="5">
        <f t="shared" si="0"/>
        <v>64</v>
      </c>
      <c r="B73" s="4">
        <v>203.83096255109018</v>
      </c>
      <c r="C73" s="4">
        <v>0.77251934806863187</v>
      </c>
      <c r="D73" s="4">
        <v>3.2103645857113676</v>
      </c>
      <c r="E73" s="4">
        <v>3.9828839337799993</v>
      </c>
      <c r="F73" s="4">
        <v>200.62059796537881</v>
      </c>
    </row>
    <row r="74" spans="1:6" x14ac:dyDescent="0.2">
      <c r="A74" s="5">
        <f t="shared" si="0"/>
        <v>65</v>
      </c>
      <c r="B74" s="4">
        <v>200.62059796537881</v>
      </c>
      <c r="C74" s="4">
        <v>0.76520039740628243</v>
      </c>
      <c r="D74" s="4">
        <v>3.2203222376285652</v>
      </c>
      <c r="E74" s="4">
        <v>3.9855226350348474</v>
      </c>
      <c r="F74" s="4">
        <v>197.40027572775023</v>
      </c>
    </row>
    <row r="75" spans="1:6" x14ac:dyDescent="0.2">
      <c r="A75" s="5">
        <f t="shared" si="0"/>
        <v>66</v>
      </c>
      <c r="B75" s="4">
        <v>197.40027572775023</v>
      </c>
      <c r="C75" s="4">
        <v>0.75719455764569532</v>
      </c>
      <c r="D75" s="4">
        <v>3.2306547272783073</v>
      </c>
      <c r="E75" s="4">
        <v>3.9878492849240024</v>
      </c>
      <c r="F75" s="4">
        <v>194.16962100047192</v>
      </c>
    </row>
    <row r="76" spans="1:6" x14ac:dyDescent="0.2">
      <c r="A76" s="5">
        <f t="shared" ref="A76:A139" si="1">A75+1</f>
        <v>67</v>
      </c>
      <c r="B76" s="4">
        <v>194.16962100047192</v>
      </c>
      <c r="C76" s="4">
        <v>0.74868569697431975</v>
      </c>
      <c r="D76" s="4">
        <v>3.241275031514804</v>
      </c>
      <c r="E76" s="4">
        <v>3.9899607284891236</v>
      </c>
      <c r="F76" s="4">
        <v>190.9283459689571</v>
      </c>
    </row>
    <row r="77" spans="1:6" x14ac:dyDescent="0.2">
      <c r="A77" s="5">
        <f t="shared" si="1"/>
        <v>68</v>
      </c>
      <c r="B77" s="4">
        <v>190.9283459689571</v>
      </c>
      <c r="C77" s="4">
        <v>0.73984734062970881</v>
      </c>
      <c r="D77" s="4">
        <v>3.2521020128867919</v>
      </c>
      <c r="E77" s="4">
        <v>3.9919493535165005</v>
      </c>
      <c r="F77" s="4">
        <v>187.67624395607032</v>
      </c>
    </row>
    <row r="78" spans="1:6" x14ac:dyDescent="0.2">
      <c r="A78" s="5">
        <f t="shared" si="1"/>
        <v>69</v>
      </c>
      <c r="B78" s="4">
        <v>187.67624395607032</v>
      </c>
      <c r="C78" s="4">
        <v>0.7303733827290404</v>
      </c>
      <c r="D78" s="4">
        <v>3.2632748020593914</v>
      </c>
      <c r="E78" s="4">
        <v>3.993648184788432</v>
      </c>
      <c r="F78" s="4">
        <v>184.41296915401094</v>
      </c>
    </row>
    <row r="79" spans="1:6" x14ac:dyDescent="0.2">
      <c r="A79" s="5">
        <f t="shared" si="1"/>
        <v>70</v>
      </c>
      <c r="B79" s="4">
        <v>184.41296915401094</v>
      </c>
      <c r="C79" s="4">
        <v>0.72059367696929777</v>
      </c>
      <c r="D79" s="4">
        <v>3.2746394077551519</v>
      </c>
      <c r="E79" s="4">
        <v>3.9952330847244495</v>
      </c>
      <c r="F79" s="4">
        <v>181.13832974625578</v>
      </c>
    </row>
    <row r="80" spans="1:6" x14ac:dyDescent="0.2">
      <c r="A80" s="5">
        <f t="shared" si="1"/>
        <v>71</v>
      </c>
      <c r="B80" s="4">
        <v>181.13832974625578</v>
      </c>
      <c r="C80" s="4">
        <v>0.71021320121344444</v>
      </c>
      <c r="D80" s="4">
        <v>3.2863300409643617</v>
      </c>
      <c r="E80" s="4">
        <v>3.9965432421778062</v>
      </c>
      <c r="F80" s="4">
        <v>177.85199970529141</v>
      </c>
    </row>
    <row r="81" spans="1:6" x14ac:dyDescent="0.2">
      <c r="A81" s="5">
        <f t="shared" si="1"/>
        <v>72</v>
      </c>
      <c r="B81" s="4">
        <v>177.85199970529141</v>
      </c>
      <c r="C81" s="4">
        <v>0.69955119884081296</v>
      </c>
      <c r="D81" s="4">
        <v>3.298197276464653</v>
      </c>
      <c r="E81" s="4">
        <v>3.9977484753054657</v>
      </c>
      <c r="F81" s="4">
        <v>174.55380242882674</v>
      </c>
    </row>
    <row r="82" spans="1:6" x14ac:dyDescent="0.2">
      <c r="A82" s="5">
        <f t="shared" si="1"/>
        <v>73</v>
      </c>
      <c r="B82" s="4">
        <v>174.55380242882674</v>
      </c>
      <c r="C82" s="4">
        <v>0.6884692890796974</v>
      </c>
      <c r="D82" s="4">
        <v>3.3103036977224898</v>
      </c>
      <c r="E82" s="4">
        <v>3.9987729868021873</v>
      </c>
      <c r="F82" s="4">
        <v>171.24349873110424</v>
      </c>
    </row>
    <row r="83" spans="1:6" x14ac:dyDescent="0.2">
      <c r="A83" s="5">
        <f t="shared" si="1"/>
        <v>74</v>
      </c>
      <c r="B83" s="4">
        <v>171.24349873110424</v>
      </c>
      <c r="C83" s="4">
        <v>0.67683992873468946</v>
      </c>
      <c r="D83" s="4">
        <v>3.322705689445522</v>
      </c>
      <c r="E83" s="4">
        <v>3.9995456181802114</v>
      </c>
      <c r="F83" s="4">
        <v>167.92079304165873</v>
      </c>
    </row>
    <row r="84" spans="1:6" x14ac:dyDescent="0.2">
      <c r="A84" s="5">
        <f t="shared" si="1"/>
        <v>75</v>
      </c>
      <c r="B84" s="4">
        <v>167.92079304165873</v>
      </c>
      <c r="C84" s="4">
        <v>0.66524620843337134</v>
      </c>
      <c r="D84" s="4">
        <v>3.3351322646468309</v>
      </c>
      <c r="E84" s="4">
        <v>4.0003784730802021</v>
      </c>
      <c r="F84" s="4">
        <v>164.5856607770119</v>
      </c>
    </row>
    <row r="85" spans="1:6" x14ac:dyDescent="0.2">
      <c r="A85" s="5">
        <f t="shared" si="1"/>
        <v>76</v>
      </c>
      <c r="B85" s="4">
        <v>164.5856607770119</v>
      </c>
      <c r="C85" s="4">
        <v>0.65326791856742317</v>
      </c>
      <c r="D85" s="4">
        <v>3.3477780123068874</v>
      </c>
      <c r="E85" s="4">
        <v>4.0010459308743105</v>
      </c>
      <c r="F85" s="4">
        <v>161.23788276470501</v>
      </c>
    </row>
    <row r="86" spans="1:6" x14ac:dyDescent="0.2">
      <c r="A86" s="5">
        <f t="shared" si="1"/>
        <v>77</v>
      </c>
      <c r="B86" s="4">
        <v>161.23788276470501</v>
      </c>
      <c r="C86" s="4">
        <v>0.64118931379431021</v>
      </c>
      <c r="D86" s="4">
        <v>3.3605100748233809</v>
      </c>
      <c r="E86" s="4">
        <v>4.0016993886176913</v>
      </c>
      <c r="F86" s="4">
        <v>157.87737268988161</v>
      </c>
    </row>
    <row r="87" spans="1:6" x14ac:dyDescent="0.2">
      <c r="A87" s="5">
        <f t="shared" si="1"/>
        <v>78</v>
      </c>
      <c r="B87" s="4">
        <v>157.87737268988161</v>
      </c>
      <c r="C87" s="4">
        <v>0.62900976569193667</v>
      </c>
      <c r="D87" s="4">
        <v>3.3733290575023664</v>
      </c>
      <c r="E87" s="4">
        <v>4.0023388231943029</v>
      </c>
      <c r="F87" s="4">
        <v>154.50404363237925</v>
      </c>
    </row>
    <row r="88" spans="1:6" x14ac:dyDescent="0.2">
      <c r="A88" s="5">
        <f t="shared" si="1"/>
        <v>79</v>
      </c>
      <c r="B88" s="4">
        <v>154.50404363237925</v>
      </c>
      <c r="C88" s="4">
        <v>0.61659988746288685</v>
      </c>
      <c r="D88" s="4">
        <v>3.3862948334812089</v>
      </c>
      <c r="E88" s="4">
        <v>4.0028947209440959</v>
      </c>
      <c r="F88" s="4">
        <v>151.11774879889805</v>
      </c>
    </row>
    <row r="89" spans="1:6" x14ac:dyDescent="0.2">
      <c r="A89" s="5">
        <f t="shared" si="1"/>
        <v>80</v>
      </c>
      <c r="B89" s="4">
        <v>151.11774879889805</v>
      </c>
      <c r="C89" s="4">
        <v>0.60409320082359497</v>
      </c>
      <c r="D89" s="4">
        <v>3.3993449060382517</v>
      </c>
      <c r="E89" s="4">
        <v>4.0034381068618465</v>
      </c>
      <c r="F89" s="4">
        <v>147.71840389285978</v>
      </c>
    </row>
    <row r="90" spans="1:6" x14ac:dyDescent="0.2">
      <c r="A90" s="5">
        <f t="shared" si="1"/>
        <v>81</v>
      </c>
      <c r="B90" s="4">
        <v>147.71840389285978</v>
      </c>
      <c r="C90" s="4">
        <v>0.59136601025108204</v>
      </c>
      <c r="D90" s="4">
        <v>3.4125365914253121</v>
      </c>
      <c r="E90" s="4">
        <v>4.0039026016763941</v>
      </c>
      <c r="F90" s="4">
        <v>144.30586730143446</v>
      </c>
    </row>
    <row r="91" spans="1:6" x14ac:dyDescent="0.2">
      <c r="A91" s="5">
        <f t="shared" si="1"/>
        <v>82</v>
      </c>
      <c r="B91" s="4">
        <v>144.30586730143446</v>
      </c>
      <c r="C91" s="4">
        <v>0.57854627298933436</v>
      </c>
      <c r="D91" s="4">
        <v>3.4258098358042544</v>
      </c>
      <c r="E91" s="4">
        <v>4.0043561087935888</v>
      </c>
      <c r="F91" s="4">
        <v>140.88005746563022</v>
      </c>
    </row>
    <row r="92" spans="1:6" x14ac:dyDescent="0.2">
      <c r="A92" s="5">
        <f t="shared" si="1"/>
        <v>83</v>
      </c>
      <c r="B92" s="4">
        <v>140.88005746563022</v>
      </c>
      <c r="C92" s="4">
        <v>0.56551603067661738</v>
      </c>
      <c r="D92" s="4">
        <v>3.4392193637789923</v>
      </c>
      <c r="E92" s="4">
        <v>4.0047353944556097</v>
      </c>
      <c r="F92" s="4">
        <v>137.44083810185123</v>
      </c>
    </row>
    <row r="93" spans="1:6" x14ac:dyDescent="0.2">
      <c r="A93" s="5">
        <f t="shared" si="1"/>
        <v>84</v>
      </c>
      <c r="B93" s="4">
        <v>137.44083810185123</v>
      </c>
      <c r="C93" s="4">
        <v>0.55239763513769036</v>
      </c>
      <c r="D93" s="4">
        <v>3.4527075937023191</v>
      </c>
      <c r="E93" s="4">
        <v>4.0051052288400095</v>
      </c>
      <c r="F93" s="4">
        <v>133.98813050814891</v>
      </c>
    </row>
    <row r="94" spans="1:6" x14ac:dyDescent="0.2">
      <c r="A94" s="5">
        <f t="shared" si="1"/>
        <v>85</v>
      </c>
      <c r="B94" s="4">
        <v>133.98813050814891</v>
      </c>
      <c r="C94" s="4">
        <v>0.53907891174445255</v>
      </c>
      <c r="D94" s="4">
        <v>3.4663266227967622</v>
      </c>
      <c r="E94" s="4">
        <v>4.0054055345412145</v>
      </c>
      <c r="F94" s="4">
        <v>130.52180388535214</v>
      </c>
    </row>
    <row r="95" spans="1:6" x14ac:dyDescent="0.2">
      <c r="A95" s="5">
        <f t="shared" si="1"/>
        <v>86</v>
      </c>
      <c r="B95" s="4">
        <v>130.52180388535214</v>
      </c>
      <c r="C95" s="4">
        <v>0.52556779697835132</v>
      </c>
      <c r="D95" s="4">
        <v>3.4800716586276055</v>
      </c>
      <c r="E95" s="4">
        <v>4.0056394556059569</v>
      </c>
      <c r="F95" s="4">
        <v>127.04173222672453</v>
      </c>
    </row>
    <row r="96" spans="1:6" x14ac:dyDescent="0.2">
      <c r="A96" s="5">
        <f t="shared" si="1"/>
        <v>87</v>
      </c>
      <c r="B96" s="4">
        <v>127.04173222672453</v>
      </c>
      <c r="C96" s="4">
        <v>0.51229578520426666</v>
      </c>
      <c r="D96" s="4">
        <v>3.4937419528939717</v>
      </c>
      <c r="E96" s="4">
        <v>4.0060377380982386</v>
      </c>
      <c r="F96" s="4">
        <v>123.54799027383056</v>
      </c>
    </row>
    <row r="97" spans="1:6" x14ac:dyDescent="0.2">
      <c r="A97" s="5">
        <f t="shared" si="1"/>
        <v>88</v>
      </c>
      <c r="B97" s="4">
        <v>123.54799027383056</v>
      </c>
      <c r="C97" s="4">
        <v>0.49903092404771393</v>
      </c>
      <c r="D97" s="4">
        <v>3.5074493203789925</v>
      </c>
      <c r="E97" s="4">
        <v>4.0064802444267062</v>
      </c>
      <c r="F97" s="4">
        <v>120.04054095345157</v>
      </c>
    </row>
    <row r="98" spans="1:6" x14ac:dyDescent="0.2">
      <c r="A98" s="5">
        <f t="shared" si="1"/>
        <v>89</v>
      </c>
      <c r="B98" s="4">
        <v>120.04054095345157</v>
      </c>
      <c r="C98" s="4">
        <v>0.48596412329322308</v>
      </c>
      <c r="D98" s="4">
        <v>3.5211071236427274</v>
      </c>
      <c r="E98" s="4">
        <v>4.0070712469359506</v>
      </c>
      <c r="F98" s="4">
        <v>116.51943382980885</v>
      </c>
    </row>
    <row r="99" spans="1:6" x14ac:dyDescent="0.2">
      <c r="A99" s="5">
        <f t="shared" si="1"/>
        <v>90</v>
      </c>
      <c r="B99" s="4">
        <v>116.51943382980885</v>
      </c>
      <c r="C99" s="4">
        <v>0.47287470229264095</v>
      </c>
      <c r="D99" s="4">
        <v>3.5348222250599335</v>
      </c>
      <c r="E99" s="4">
        <v>4.0076969273525744</v>
      </c>
      <c r="F99" s="4">
        <v>112.98461160474892</v>
      </c>
    </row>
    <row r="100" spans="1:6" x14ac:dyDescent="0.2">
      <c r="A100" s="5">
        <f t="shared" si="1"/>
        <v>91</v>
      </c>
      <c r="B100" s="4">
        <v>112.98461160474892</v>
      </c>
      <c r="C100" s="4">
        <v>0.45994152307433211</v>
      </c>
      <c r="D100" s="4">
        <v>3.54851366568532</v>
      </c>
      <c r="E100" s="4">
        <v>4.008455188759652</v>
      </c>
      <c r="F100" s="4">
        <v>109.4360979390636</v>
      </c>
    </row>
    <row r="101" spans="1:6" x14ac:dyDescent="0.2">
      <c r="A101" s="5">
        <f t="shared" si="1"/>
        <v>92</v>
      </c>
      <c r="B101" s="4">
        <v>109.4360979390636</v>
      </c>
      <c r="C101" s="4">
        <v>0.44695526333279223</v>
      </c>
      <c r="D101" s="4">
        <v>3.5622832788951175</v>
      </c>
      <c r="E101" s="4">
        <v>4.0092385422279095</v>
      </c>
      <c r="F101" s="4">
        <v>105.87381466016848</v>
      </c>
    </row>
    <row r="102" spans="1:6" x14ac:dyDescent="0.2">
      <c r="A102" s="5">
        <f t="shared" si="1"/>
        <v>93</v>
      </c>
      <c r="B102" s="4">
        <v>105.87381466016848</v>
      </c>
      <c r="C102" s="4">
        <v>0.43408264010669068</v>
      </c>
      <c r="D102" s="4">
        <v>3.5760558638411646</v>
      </c>
      <c r="E102" s="4">
        <v>4.0101385039478554</v>
      </c>
      <c r="F102" s="4">
        <v>102.29775879632732</v>
      </c>
    </row>
    <row r="103" spans="1:6" x14ac:dyDescent="0.2">
      <c r="A103" s="5">
        <f t="shared" si="1"/>
        <v>94</v>
      </c>
      <c r="B103" s="4">
        <v>102.29775879632732</v>
      </c>
      <c r="C103" s="4">
        <v>0.42112577371154747</v>
      </c>
      <c r="D103" s="4">
        <v>3.5899281527408071</v>
      </c>
      <c r="E103" s="4">
        <v>4.0110539264523544</v>
      </c>
      <c r="F103" s="4">
        <v>98.707830643586504</v>
      </c>
    </row>
    <row r="104" spans="1:6" x14ac:dyDescent="0.2">
      <c r="A104" s="5">
        <f t="shared" si="1"/>
        <v>95</v>
      </c>
      <c r="B104" s="4">
        <v>98.707830643586504</v>
      </c>
      <c r="C104" s="4">
        <v>0.40815687971123021</v>
      </c>
      <c r="D104" s="4">
        <v>3.6038688635008702</v>
      </c>
      <c r="E104" s="4">
        <v>4.0120257432121003</v>
      </c>
      <c r="F104" s="4">
        <v>95.10396178008564</v>
      </c>
    </row>
    <row r="105" spans="1:6" x14ac:dyDescent="0.2">
      <c r="A105" s="5">
        <f t="shared" si="1"/>
        <v>96</v>
      </c>
      <c r="B105" s="4">
        <v>95.10396178008564</v>
      </c>
      <c r="C105" s="4">
        <v>0.39523621449773927</v>
      </c>
      <c r="D105" s="4">
        <v>3.6178538715877648</v>
      </c>
      <c r="E105" s="4">
        <v>4.0130900860855041</v>
      </c>
      <c r="F105" s="4">
        <v>91.486107908497871</v>
      </c>
    </row>
    <row r="106" spans="1:6" x14ac:dyDescent="0.2">
      <c r="A106" s="5">
        <f t="shared" si="1"/>
        <v>97</v>
      </c>
      <c r="B106" s="4">
        <v>91.486107908497871</v>
      </c>
      <c r="C106" s="4">
        <v>0.38218321578774989</v>
      </c>
      <c r="D106" s="4">
        <v>3.6319721313044049</v>
      </c>
      <c r="E106" s="4">
        <v>4.0141553470921547</v>
      </c>
      <c r="F106" s="4">
        <v>87.854135777193463</v>
      </c>
    </row>
    <row r="107" spans="1:6" x14ac:dyDescent="0.2">
      <c r="A107" s="5">
        <f t="shared" si="1"/>
        <v>98</v>
      </c>
      <c r="B107" s="4">
        <v>87.854135777193463</v>
      </c>
      <c r="C107" s="4">
        <v>0.36913379382384121</v>
      </c>
      <c r="D107" s="4">
        <v>3.6461631956621741</v>
      </c>
      <c r="E107" s="4">
        <v>4.0152969894860151</v>
      </c>
      <c r="F107" s="4">
        <v>84.207972581531294</v>
      </c>
    </row>
    <row r="108" spans="1:6" x14ac:dyDescent="0.2">
      <c r="A108" s="5">
        <f t="shared" si="1"/>
        <v>99</v>
      </c>
      <c r="B108" s="4">
        <v>84.207972581531294</v>
      </c>
      <c r="C108" s="4">
        <v>0.35563833753600049</v>
      </c>
      <c r="D108" s="4">
        <v>3.660640397303585</v>
      </c>
      <c r="E108" s="4">
        <v>4.0162787348395854</v>
      </c>
      <c r="F108" s="4">
        <v>80.547332184227713</v>
      </c>
    </row>
    <row r="109" spans="1:6" x14ac:dyDescent="0.2">
      <c r="A109" s="5">
        <f t="shared" si="1"/>
        <v>100</v>
      </c>
      <c r="B109" s="4">
        <v>80.547332184227713</v>
      </c>
      <c r="C109" s="4">
        <v>0.34178917956840627</v>
      </c>
      <c r="D109" s="4">
        <v>3.6753571176352389</v>
      </c>
      <c r="E109" s="4">
        <v>4.0171462972036451</v>
      </c>
      <c r="F109" s="4">
        <v>76.871975066592469</v>
      </c>
    </row>
    <row r="110" spans="1:6" x14ac:dyDescent="0.2">
      <c r="A110" s="5">
        <f t="shared" si="1"/>
        <v>101</v>
      </c>
      <c r="B110" s="4">
        <v>76.871975066592469</v>
      </c>
      <c r="C110" s="4">
        <v>0.32766679372135038</v>
      </c>
      <c r="D110" s="4">
        <v>3.6902737915114892</v>
      </c>
      <c r="E110" s="4">
        <v>4.0179405852328394</v>
      </c>
      <c r="F110" s="4">
        <v>73.181701275080982</v>
      </c>
    </row>
    <row r="111" spans="1:6" x14ac:dyDescent="0.2">
      <c r="A111" s="5">
        <f t="shared" si="1"/>
        <v>102</v>
      </c>
      <c r="B111" s="4">
        <v>73.181701275080982</v>
      </c>
      <c r="C111" s="4">
        <v>0.31315669670628404</v>
      </c>
      <c r="D111" s="4">
        <v>3.7054422270262526</v>
      </c>
      <c r="E111" s="4">
        <v>4.0185989237325366</v>
      </c>
      <c r="F111" s="4">
        <v>69.476259048054729</v>
      </c>
    </row>
    <row r="112" spans="1:6" x14ac:dyDescent="0.2">
      <c r="A112" s="5">
        <f t="shared" si="1"/>
        <v>103</v>
      </c>
      <c r="B112" s="4">
        <v>69.476259048054729</v>
      </c>
      <c r="C112" s="4">
        <v>0.29828473884631501</v>
      </c>
      <c r="D112" s="4">
        <v>3.7208462228093784</v>
      </c>
      <c r="E112" s="4">
        <v>4.0191309616556934</v>
      </c>
      <c r="F112" s="4">
        <v>65.755412825245344</v>
      </c>
    </row>
    <row r="113" spans="1:6" x14ac:dyDescent="0.2">
      <c r="A113" s="5">
        <f t="shared" si="1"/>
        <v>104</v>
      </c>
      <c r="B113" s="4">
        <v>65.755412825245344</v>
      </c>
      <c r="C113" s="4">
        <v>0.28318664456738996</v>
      </c>
      <c r="D113" s="4">
        <v>3.7364190814991081</v>
      </c>
      <c r="E113" s="4">
        <v>4.0196057260664979</v>
      </c>
      <c r="F113" s="4">
        <v>62.018993743746236</v>
      </c>
    </row>
    <row r="114" spans="1:6" x14ac:dyDescent="0.2">
      <c r="A114" s="5">
        <f t="shared" si="1"/>
        <v>105</v>
      </c>
      <c r="B114" s="4">
        <v>62.018993743746236</v>
      </c>
      <c r="C114" s="4">
        <v>0.2678186879834108</v>
      </c>
      <c r="D114" s="4">
        <v>3.7521796870011483</v>
      </c>
      <c r="E114" s="4">
        <v>4.0199983749845591</v>
      </c>
      <c r="F114" s="4">
        <v>58.266814056745091</v>
      </c>
    </row>
    <row r="115" spans="1:6" x14ac:dyDescent="0.2">
      <c r="A115" s="5">
        <f t="shared" si="1"/>
        <v>106</v>
      </c>
      <c r="B115" s="4">
        <v>58.266814056745091</v>
      </c>
      <c r="C115" s="4">
        <v>0.25214963783056438</v>
      </c>
      <c r="D115" s="4">
        <v>3.768139324425519</v>
      </c>
      <c r="E115" s="4">
        <v>4.0202889622560836</v>
      </c>
      <c r="F115" s="4">
        <v>54.498674732319571</v>
      </c>
    </row>
    <row r="116" spans="1:6" x14ac:dyDescent="0.2">
      <c r="A116" s="5">
        <f t="shared" si="1"/>
        <v>107</v>
      </c>
      <c r="B116" s="4">
        <v>54.498674732319571</v>
      </c>
      <c r="C116" s="4">
        <v>0.23625175496460535</v>
      </c>
      <c r="D116" s="4">
        <v>3.7842602711334501</v>
      </c>
      <c r="E116" s="4">
        <v>4.0205120260980554</v>
      </c>
      <c r="F116" s="4">
        <v>50.714414461186124</v>
      </c>
    </row>
    <row r="117" spans="1:6" x14ac:dyDescent="0.2">
      <c r="A117" s="5">
        <f t="shared" si="1"/>
        <v>108</v>
      </c>
      <c r="B117" s="4">
        <v>50.714414461186124</v>
      </c>
      <c r="C117" s="4">
        <v>0.22018508278564974</v>
      </c>
      <c r="D117" s="4">
        <v>3.8005121436872282</v>
      </c>
      <c r="E117" s="4">
        <v>4.020697226472878</v>
      </c>
      <c r="F117" s="4">
        <v>46.913902317498895</v>
      </c>
    </row>
    <row r="118" spans="1:6" x14ac:dyDescent="0.2">
      <c r="A118" s="5">
        <f t="shared" si="1"/>
        <v>109</v>
      </c>
      <c r="B118" s="4">
        <v>46.913902317498895</v>
      </c>
      <c r="C118" s="4">
        <v>0.2038800004881306</v>
      </c>
      <c r="D118" s="4">
        <v>3.8169247888232358</v>
      </c>
      <c r="E118" s="4">
        <v>4.0208047893113665</v>
      </c>
      <c r="F118" s="4">
        <v>43.096977528675659</v>
      </c>
    </row>
    <row r="119" spans="1:6" x14ac:dyDescent="0.2">
      <c r="A119" s="5">
        <f t="shared" si="1"/>
        <v>110</v>
      </c>
      <c r="B119" s="4">
        <v>43.096977528675659</v>
      </c>
      <c r="C119" s="4">
        <v>0.18740002395385799</v>
      </c>
      <c r="D119" s="4">
        <v>3.8334643827059258</v>
      </c>
      <c r="E119" s="4">
        <v>4.0208644066597836</v>
      </c>
      <c r="F119" s="4">
        <v>39.263513145969732</v>
      </c>
    </row>
    <row r="120" spans="1:6" x14ac:dyDescent="0.2">
      <c r="A120" s="5">
        <f t="shared" si="1"/>
        <v>111</v>
      </c>
      <c r="B120" s="4">
        <v>39.263513145969732</v>
      </c>
      <c r="C120" s="4">
        <v>0.17079628218496834</v>
      </c>
      <c r="D120" s="4">
        <v>3.8501045840727737</v>
      </c>
      <c r="E120" s="4">
        <v>4.0209008662577421</v>
      </c>
      <c r="F120" s="4">
        <v>35.413408561896958</v>
      </c>
    </row>
    <row r="121" spans="1:6" x14ac:dyDescent="0.2">
      <c r="A121" s="5">
        <f t="shared" si="1"/>
        <v>112</v>
      </c>
      <c r="B121" s="4">
        <v>35.413408561896958</v>
      </c>
      <c r="C121" s="4">
        <v>0.15413686076565652</v>
      </c>
      <c r="D121" s="4">
        <v>3.8668137596105696</v>
      </c>
      <c r="E121" s="4">
        <v>4.020950620376226</v>
      </c>
      <c r="F121" s="4">
        <v>31.546594802286389</v>
      </c>
    </row>
    <row r="122" spans="1:6" x14ac:dyDescent="0.2">
      <c r="A122" s="5">
        <f t="shared" si="1"/>
        <v>113</v>
      </c>
      <c r="B122" s="4">
        <v>31.546594802286389</v>
      </c>
      <c r="C122" s="4">
        <v>0.13735913153495533</v>
      </c>
      <c r="D122" s="4">
        <v>3.8836213632001435</v>
      </c>
      <c r="E122" s="4">
        <v>4.0209804947350989</v>
      </c>
      <c r="F122" s="4">
        <v>27.662973439086244</v>
      </c>
    </row>
    <row r="123" spans="1:6" x14ac:dyDescent="0.2">
      <c r="A123" s="5">
        <f t="shared" si="1"/>
        <v>114</v>
      </c>
      <c r="B123" s="4">
        <v>27.662973439086244</v>
      </c>
      <c r="C123" s="4">
        <v>0.12049530180508651</v>
      </c>
      <c r="D123" s="4">
        <v>3.9005117673361527</v>
      </c>
      <c r="E123" s="4">
        <v>4.0210070691412394</v>
      </c>
      <c r="F123" s="4">
        <v>23.762461671750092</v>
      </c>
    </row>
    <row r="124" spans="1:6" x14ac:dyDescent="0.2">
      <c r="A124" s="5">
        <f t="shared" si="1"/>
        <v>115</v>
      </c>
      <c r="B124" s="4">
        <v>23.762461671750092</v>
      </c>
      <c r="C124" s="4">
        <v>0.10354492673465102</v>
      </c>
      <c r="D124" s="4">
        <v>3.9174854119989986</v>
      </c>
      <c r="E124" s="4">
        <v>4.0210303387336497</v>
      </c>
      <c r="F124" s="4">
        <v>19.844976259751093</v>
      </c>
    </row>
    <row r="125" spans="1:6" x14ac:dyDescent="0.2">
      <c r="A125" s="5">
        <f t="shared" si="1"/>
        <v>116</v>
      </c>
      <c r="B125" s="4">
        <v>19.844976259751093</v>
      </c>
      <c r="C125" s="4">
        <v>8.6491021532081852E-2</v>
      </c>
      <c r="D125" s="4">
        <v>3.9345492971563281</v>
      </c>
      <c r="E125" s="4">
        <v>4.0210403186884101</v>
      </c>
      <c r="F125" s="4">
        <v>15.910426962594764</v>
      </c>
    </row>
    <row r="126" spans="1:6" x14ac:dyDescent="0.2">
      <c r="A126" s="5">
        <f t="shared" si="1"/>
        <v>117</v>
      </c>
      <c r="B126" s="4">
        <v>15.910426962594764</v>
      </c>
      <c r="C126" s="4">
        <v>6.9356202867777675E-2</v>
      </c>
      <c r="D126" s="4">
        <v>3.9516924385027812</v>
      </c>
      <c r="E126" s="4">
        <v>4.0210486413705588</v>
      </c>
      <c r="F126" s="4">
        <v>11.958734524091984</v>
      </c>
    </row>
    <row r="127" spans="1:6" x14ac:dyDescent="0.2">
      <c r="A127" s="5">
        <f t="shared" si="1"/>
        <v>118</v>
      </c>
      <c r="B127" s="4">
        <v>11.958734524091984</v>
      </c>
      <c r="C127" s="4">
        <v>5.214008252504105E-2</v>
      </c>
      <c r="D127" s="4">
        <v>3.9689152218332873</v>
      </c>
      <c r="E127" s="4">
        <v>4.0210553043583284</v>
      </c>
      <c r="F127" s="4">
        <v>7.989819302258697</v>
      </c>
    </row>
    <row r="128" spans="1:6" x14ac:dyDescent="0.2">
      <c r="A128" s="5">
        <f t="shared" si="1"/>
        <v>119</v>
      </c>
      <c r="B128" s="4">
        <v>7.989819302258697</v>
      </c>
      <c r="C128" s="4">
        <v>3.48422703405998E-2</v>
      </c>
      <c r="D128" s="4">
        <v>3.9862180348891014</v>
      </c>
      <c r="E128" s="4">
        <v>4.0210603052297014</v>
      </c>
      <c r="F128" s="4">
        <v>4.0036012673695955</v>
      </c>
    </row>
    <row r="129" spans="1:6" x14ac:dyDescent="0.2">
      <c r="A129" s="5">
        <f t="shared" si="1"/>
        <v>120</v>
      </c>
      <c r="B129" s="4">
        <v>4.0036012673695955</v>
      </c>
      <c r="C129" s="4">
        <v>1.7462374194510386E-2</v>
      </c>
      <c r="D129" s="4">
        <v>4.0036012673696604</v>
      </c>
      <c r="E129" s="4">
        <v>4.0210636415641705</v>
      </c>
      <c r="F129" s="4">
        <v>0</v>
      </c>
    </row>
    <row r="130" spans="1:6" x14ac:dyDescent="0.2">
      <c r="A130" s="5">
        <f t="shared" si="1"/>
        <v>121</v>
      </c>
      <c r="B130" s="4">
        <v>0</v>
      </c>
      <c r="C130" s="4">
        <v>0</v>
      </c>
      <c r="D130" s="4">
        <v>0</v>
      </c>
      <c r="E130" s="4">
        <v>0</v>
      </c>
      <c r="F130" s="4">
        <v>0</v>
      </c>
    </row>
    <row r="131" spans="1:6" x14ac:dyDescent="0.2">
      <c r="A131" s="5">
        <f t="shared" si="1"/>
        <v>122</v>
      </c>
      <c r="B131" s="4">
        <v>0</v>
      </c>
      <c r="C131" s="4">
        <v>0</v>
      </c>
      <c r="D131" s="4">
        <v>0</v>
      </c>
      <c r="E131" s="4">
        <v>0</v>
      </c>
      <c r="F131" s="4">
        <v>0</v>
      </c>
    </row>
    <row r="132" spans="1:6" x14ac:dyDescent="0.2">
      <c r="A132" s="5">
        <f t="shared" si="1"/>
        <v>123</v>
      </c>
      <c r="B132" s="4">
        <v>0</v>
      </c>
      <c r="C132" s="4">
        <v>0</v>
      </c>
      <c r="D132" s="4">
        <v>0</v>
      </c>
      <c r="E132" s="4">
        <v>0</v>
      </c>
      <c r="F132" s="4">
        <v>0</v>
      </c>
    </row>
    <row r="133" spans="1:6" x14ac:dyDescent="0.2">
      <c r="A133" s="5">
        <f t="shared" si="1"/>
        <v>124</v>
      </c>
      <c r="B133" s="4">
        <v>0</v>
      </c>
      <c r="C133" s="4">
        <v>0</v>
      </c>
      <c r="D133" s="4">
        <v>0</v>
      </c>
      <c r="E133" s="4">
        <v>0</v>
      </c>
      <c r="F133" s="4">
        <v>0</v>
      </c>
    </row>
    <row r="134" spans="1:6" x14ac:dyDescent="0.2">
      <c r="A134" s="5">
        <f t="shared" si="1"/>
        <v>125</v>
      </c>
      <c r="B134" s="4">
        <v>0</v>
      </c>
      <c r="C134" s="4">
        <v>0</v>
      </c>
      <c r="D134" s="4">
        <v>0</v>
      </c>
      <c r="E134" s="4">
        <v>0</v>
      </c>
      <c r="F134" s="4">
        <v>0</v>
      </c>
    </row>
    <row r="135" spans="1:6" x14ac:dyDescent="0.2">
      <c r="A135" s="5">
        <f t="shared" si="1"/>
        <v>126</v>
      </c>
      <c r="B135" s="4">
        <v>0</v>
      </c>
      <c r="C135" s="4">
        <v>0</v>
      </c>
      <c r="D135" s="4">
        <v>0</v>
      </c>
      <c r="E135" s="4">
        <v>0</v>
      </c>
      <c r="F135" s="4">
        <v>0</v>
      </c>
    </row>
    <row r="136" spans="1:6" x14ac:dyDescent="0.2">
      <c r="A136" s="5">
        <f t="shared" si="1"/>
        <v>127</v>
      </c>
      <c r="B136" s="4">
        <v>0</v>
      </c>
      <c r="C136" s="4">
        <v>0</v>
      </c>
      <c r="D136" s="4">
        <v>0</v>
      </c>
      <c r="E136" s="4">
        <v>0</v>
      </c>
      <c r="F136" s="4">
        <v>0</v>
      </c>
    </row>
    <row r="137" spans="1:6" x14ac:dyDescent="0.2">
      <c r="A137" s="5">
        <f t="shared" si="1"/>
        <v>128</v>
      </c>
      <c r="B137" s="4">
        <v>0</v>
      </c>
      <c r="C137" s="4">
        <v>0</v>
      </c>
      <c r="D137" s="4">
        <v>0</v>
      </c>
      <c r="E137" s="4">
        <v>0</v>
      </c>
      <c r="F137" s="4">
        <v>0</v>
      </c>
    </row>
    <row r="138" spans="1:6" x14ac:dyDescent="0.2">
      <c r="A138" s="5">
        <f t="shared" si="1"/>
        <v>129</v>
      </c>
      <c r="B138" s="4">
        <v>0</v>
      </c>
      <c r="C138" s="4">
        <v>0</v>
      </c>
      <c r="D138" s="4">
        <v>0</v>
      </c>
      <c r="E138" s="4">
        <v>0</v>
      </c>
      <c r="F138" s="4">
        <v>0</v>
      </c>
    </row>
    <row r="139" spans="1:6" x14ac:dyDescent="0.2">
      <c r="A139" s="5">
        <f t="shared" si="1"/>
        <v>130</v>
      </c>
      <c r="B139" s="4">
        <v>0</v>
      </c>
      <c r="C139" s="4">
        <v>0</v>
      </c>
      <c r="D139" s="4">
        <v>0</v>
      </c>
      <c r="E139" s="4">
        <v>0</v>
      </c>
      <c r="F139" s="4">
        <v>0</v>
      </c>
    </row>
    <row r="140" spans="1:6" x14ac:dyDescent="0.2">
      <c r="A140" s="5">
        <f t="shared" ref="A140:A203" si="2">A139+1</f>
        <v>131</v>
      </c>
      <c r="B140" s="4">
        <v>0</v>
      </c>
      <c r="C140" s="4">
        <v>0</v>
      </c>
      <c r="D140" s="4">
        <v>0</v>
      </c>
      <c r="E140" s="4">
        <v>0</v>
      </c>
      <c r="F140" s="4">
        <v>0</v>
      </c>
    </row>
    <row r="141" spans="1:6" x14ac:dyDescent="0.2">
      <c r="A141" s="5">
        <f t="shared" si="2"/>
        <v>132</v>
      </c>
      <c r="B141" s="4">
        <v>0</v>
      </c>
      <c r="C141" s="4">
        <v>0</v>
      </c>
      <c r="D141" s="4">
        <v>0</v>
      </c>
      <c r="E141" s="4">
        <v>0</v>
      </c>
      <c r="F141" s="4">
        <v>0</v>
      </c>
    </row>
    <row r="142" spans="1:6" x14ac:dyDescent="0.2">
      <c r="A142" s="5">
        <f t="shared" si="2"/>
        <v>133</v>
      </c>
      <c r="B142" s="4">
        <v>0</v>
      </c>
      <c r="C142" s="4">
        <v>0</v>
      </c>
      <c r="D142" s="4">
        <v>0</v>
      </c>
      <c r="E142" s="4">
        <v>0</v>
      </c>
      <c r="F142" s="4">
        <v>0</v>
      </c>
    </row>
    <row r="143" spans="1:6" x14ac:dyDescent="0.2">
      <c r="A143" s="5">
        <f t="shared" si="2"/>
        <v>134</v>
      </c>
      <c r="B143" s="4">
        <v>0</v>
      </c>
      <c r="C143" s="4">
        <v>0</v>
      </c>
      <c r="D143" s="4">
        <v>0</v>
      </c>
      <c r="E143" s="4">
        <v>0</v>
      </c>
      <c r="F143" s="4">
        <v>0</v>
      </c>
    </row>
    <row r="144" spans="1:6" x14ac:dyDescent="0.2">
      <c r="A144" s="5">
        <f t="shared" si="2"/>
        <v>135</v>
      </c>
      <c r="B144" s="4">
        <v>0</v>
      </c>
      <c r="C144" s="4">
        <v>0</v>
      </c>
      <c r="D144" s="4">
        <v>0</v>
      </c>
      <c r="E144" s="4">
        <v>0</v>
      </c>
      <c r="F144" s="4">
        <v>0</v>
      </c>
    </row>
    <row r="145" spans="1:6" x14ac:dyDescent="0.2">
      <c r="A145" s="5">
        <f t="shared" si="2"/>
        <v>136</v>
      </c>
      <c r="B145" s="4">
        <v>0</v>
      </c>
      <c r="C145" s="4">
        <v>0</v>
      </c>
      <c r="D145" s="4">
        <v>0</v>
      </c>
      <c r="E145" s="4">
        <v>0</v>
      </c>
      <c r="F145" s="4">
        <v>0</v>
      </c>
    </row>
    <row r="146" spans="1:6" x14ac:dyDescent="0.2">
      <c r="A146" s="5">
        <f t="shared" si="2"/>
        <v>137</v>
      </c>
      <c r="B146" s="4">
        <v>0</v>
      </c>
      <c r="C146" s="4">
        <v>0</v>
      </c>
      <c r="D146" s="4">
        <v>0</v>
      </c>
      <c r="E146" s="4">
        <v>0</v>
      </c>
      <c r="F146" s="4">
        <v>0</v>
      </c>
    </row>
    <row r="147" spans="1:6" x14ac:dyDescent="0.2">
      <c r="A147" s="5">
        <f t="shared" si="2"/>
        <v>138</v>
      </c>
      <c r="B147" s="4">
        <v>0</v>
      </c>
      <c r="C147" s="4">
        <v>0</v>
      </c>
      <c r="D147" s="4">
        <v>0</v>
      </c>
      <c r="E147" s="4">
        <v>0</v>
      </c>
      <c r="F147" s="4">
        <v>0</v>
      </c>
    </row>
    <row r="148" spans="1:6" x14ac:dyDescent="0.2">
      <c r="A148" s="5">
        <f t="shared" si="2"/>
        <v>139</v>
      </c>
      <c r="B148" s="4">
        <v>0</v>
      </c>
      <c r="C148" s="4">
        <v>0</v>
      </c>
      <c r="D148" s="4">
        <v>0</v>
      </c>
      <c r="E148" s="4">
        <v>0</v>
      </c>
      <c r="F148" s="4">
        <v>0</v>
      </c>
    </row>
    <row r="149" spans="1:6" x14ac:dyDescent="0.2">
      <c r="A149" s="5">
        <f t="shared" si="2"/>
        <v>140</v>
      </c>
      <c r="B149" s="4">
        <v>0</v>
      </c>
      <c r="C149" s="4">
        <v>0</v>
      </c>
      <c r="D149" s="4">
        <v>0</v>
      </c>
      <c r="E149" s="4">
        <v>0</v>
      </c>
      <c r="F149" s="4">
        <v>0</v>
      </c>
    </row>
    <row r="150" spans="1:6" x14ac:dyDescent="0.2">
      <c r="A150" s="5">
        <f t="shared" si="2"/>
        <v>141</v>
      </c>
      <c r="B150" s="4">
        <v>0</v>
      </c>
      <c r="C150" s="4">
        <v>0</v>
      </c>
      <c r="D150" s="4">
        <v>0</v>
      </c>
      <c r="E150" s="4">
        <v>0</v>
      </c>
      <c r="F150" s="4">
        <v>0</v>
      </c>
    </row>
    <row r="151" spans="1:6" x14ac:dyDescent="0.2">
      <c r="A151" s="5">
        <f t="shared" si="2"/>
        <v>142</v>
      </c>
      <c r="B151" s="4">
        <v>0</v>
      </c>
      <c r="C151" s="4">
        <v>0</v>
      </c>
      <c r="D151" s="4">
        <v>0</v>
      </c>
      <c r="E151" s="4">
        <v>0</v>
      </c>
      <c r="F151" s="4">
        <v>0</v>
      </c>
    </row>
    <row r="152" spans="1:6" x14ac:dyDescent="0.2">
      <c r="A152" s="5">
        <f t="shared" si="2"/>
        <v>143</v>
      </c>
      <c r="B152" s="4">
        <v>0</v>
      </c>
      <c r="C152" s="4">
        <v>0</v>
      </c>
      <c r="D152" s="4">
        <v>0</v>
      </c>
      <c r="E152" s="4">
        <v>0</v>
      </c>
      <c r="F152" s="4">
        <v>0</v>
      </c>
    </row>
    <row r="153" spans="1:6" x14ac:dyDescent="0.2">
      <c r="A153" s="5">
        <f t="shared" si="2"/>
        <v>144</v>
      </c>
      <c r="B153" s="4">
        <v>0</v>
      </c>
      <c r="C153" s="4">
        <v>0</v>
      </c>
      <c r="D153" s="4">
        <v>0</v>
      </c>
      <c r="E153" s="4">
        <v>0</v>
      </c>
      <c r="F153" s="4">
        <v>0</v>
      </c>
    </row>
    <row r="154" spans="1:6" x14ac:dyDescent="0.2">
      <c r="A154" s="5">
        <f t="shared" si="2"/>
        <v>145</v>
      </c>
      <c r="B154" s="4">
        <v>0</v>
      </c>
      <c r="C154" s="4">
        <v>0</v>
      </c>
      <c r="D154" s="4">
        <v>0</v>
      </c>
      <c r="E154" s="4">
        <v>0</v>
      </c>
      <c r="F154" s="4">
        <v>0</v>
      </c>
    </row>
    <row r="155" spans="1:6" x14ac:dyDescent="0.2">
      <c r="A155" s="5">
        <f t="shared" si="2"/>
        <v>146</v>
      </c>
      <c r="B155" s="4">
        <v>0</v>
      </c>
      <c r="C155" s="4">
        <v>0</v>
      </c>
      <c r="D155" s="4">
        <v>0</v>
      </c>
      <c r="E155" s="4">
        <v>0</v>
      </c>
      <c r="F155" s="4">
        <v>0</v>
      </c>
    </row>
    <row r="156" spans="1:6" x14ac:dyDescent="0.2">
      <c r="A156" s="5">
        <f t="shared" si="2"/>
        <v>147</v>
      </c>
      <c r="B156" s="4">
        <v>0</v>
      </c>
      <c r="C156" s="4">
        <v>0</v>
      </c>
      <c r="D156" s="4">
        <v>0</v>
      </c>
      <c r="E156" s="4">
        <v>0</v>
      </c>
      <c r="F156" s="4">
        <v>0</v>
      </c>
    </row>
    <row r="157" spans="1:6" x14ac:dyDescent="0.2">
      <c r="A157" s="5">
        <f t="shared" si="2"/>
        <v>148</v>
      </c>
      <c r="B157" s="4">
        <v>0</v>
      </c>
      <c r="C157" s="4">
        <v>0</v>
      </c>
      <c r="D157" s="4">
        <v>0</v>
      </c>
      <c r="E157" s="4">
        <v>0</v>
      </c>
      <c r="F157" s="4">
        <v>0</v>
      </c>
    </row>
    <row r="158" spans="1:6" x14ac:dyDescent="0.2">
      <c r="A158" s="5">
        <f t="shared" si="2"/>
        <v>149</v>
      </c>
      <c r="B158" s="4">
        <v>0</v>
      </c>
      <c r="C158" s="4">
        <v>0</v>
      </c>
      <c r="D158" s="4">
        <v>0</v>
      </c>
      <c r="E158" s="4">
        <v>0</v>
      </c>
      <c r="F158" s="4">
        <v>0</v>
      </c>
    </row>
    <row r="159" spans="1:6" x14ac:dyDescent="0.2">
      <c r="A159" s="5">
        <f t="shared" si="2"/>
        <v>150</v>
      </c>
      <c r="B159" s="4">
        <v>0</v>
      </c>
      <c r="C159" s="4">
        <v>0</v>
      </c>
      <c r="D159" s="4">
        <v>0</v>
      </c>
      <c r="E159" s="4">
        <v>0</v>
      </c>
      <c r="F159" s="4">
        <v>0</v>
      </c>
    </row>
    <row r="160" spans="1:6" x14ac:dyDescent="0.2">
      <c r="A160" s="5">
        <f t="shared" si="2"/>
        <v>151</v>
      </c>
      <c r="B160" s="4">
        <v>0</v>
      </c>
      <c r="C160" s="4">
        <v>0</v>
      </c>
      <c r="D160" s="4">
        <v>0</v>
      </c>
      <c r="E160" s="4">
        <v>0</v>
      </c>
      <c r="F160" s="4">
        <v>0</v>
      </c>
    </row>
    <row r="161" spans="1:6" x14ac:dyDescent="0.2">
      <c r="A161" s="5">
        <f t="shared" si="2"/>
        <v>152</v>
      </c>
      <c r="B161" s="4">
        <v>0</v>
      </c>
      <c r="C161" s="4">
        <v>0</v>
      </c>
      <c r="D161" s="4">
        <v>0</v>
      </c>
      <c r="E161" s="4">
        <v>0</v>
      </c>
      <c r="F161" s="4">
        <v>0</v>
      </c>
    </row>
    <row r="162" spans="1:6" x14ac:dyDescent="0.2">
      <c r="A162" s="5">
        <f t="shared" si="2"/>
        <v>153</v>
      </c>
      <c r="B162" s="4">
        <v>0</v>
      </c>
      <c r="C162" s="4">
        <v>0</v>
      </c>
      <c r="D162" s="4">
        <v>0</v>
      </c>
      <c r="E162" s="4">
        <v>0</v>
      </c>
      <c r="F162" s="4">
        <v>0</v>
      </c>
    </row>
    <row r="163" spans="1:6" x14ac:dyDescent="0.2">
      <c r="A163" s="5">
        <f t="shared" si="2"/>
        <v>154</v>
      </c>
      <c r="B163" s="4">
        <v>0</v>
      </c>
      <c r="C163" s="4">
        <v>0</v>
      </c>
      <c r="D163" s="4">
        <v>0</v>
      </c>
      <c r="E163" s="4">
        <v>0</v>
      </c>
      <c r="F163" s="4">
        <v>0</v>
      </c>
    </row>
    <row r="164" spans="1:6" x14ac:dyDescent="0.2">
      <c r="A164" s="5">
        <f t="shared" si="2"/>
        <v>155</v>
      </c>
      <c r="B164" s="4">
        <v>0</v>
      </c>
      <c r="C164" s="4">
        <v>0</v>
      </c>
      <c r="D164" s="4">
        <v>0</v>
      </c>
      <c r="E164" s="4">
        <v>0</v>
      </c>
      <c r="F164" s="4">
        <v>0</v>
      </c>
    </row>
    <row r="165" spans="1:6" x14ac:dyDescent="0.2">
      <c r="A165" s="5">
        <f t="shared" si="2"/>
        <v>156</v>
      </c>
      <c r="B165" s="4">
        <v>0</v>
      </c>
      <c r="C165" s="4">
        <v>0</v>
      </c>
      <c r="D165" s="4">
        <v>0</v>
      </c>
      <c r="E165" s="4">
        <v>0</v>
      </c>
      <c r="F165" s="4">
        <v>0</v>
      </c>
    </row>
    <row r="166" spans="1:6" x14ac:dyDescent="0.2">
      <c r="A166" s="5">
        <f t="shared" si="2"/>
        <v>157</v>
      </c>
      <c r="B166" s="4">
        <v>0</v>
      </c>
      <c r="C166" s="4">
        <v>0</v>
      </c>
      <c r="D166" s="4">
        <v>0</v>
      </c>
      <c r="E166" s="4">
        <v>0</v>
      </c>
      <c r="F166" s="4">
        <v>0</v>
      </c>
    </row>
    <row r="167" spans="1:6" x14ac:dyDescent="0.2">
      <c r="A167" s="5">
        <f t="shared" si="2"/>
        <v>158</v>
      </c>
      <c r="B167" s="4">
        <v>0</v>
      </c>
      <c r="C167" s="4">
        <v>0</v>
      </c>
      <c r="D167" s="4">
        <v>0</v>
      </c>
      <c r="E167" s="4">
        <v>0</v>
      </c>
      <c r="F167" s="4">
        <v>0</v>
      </c>
    </row>
    <row r="168" spans="1:6" x14ac:dyDescent="0.2">
      <c r="A168" s="5">
        <f t="shared" si="2"/>
        <v>159</v>
      </c>
      <c r="B168" s="4">
        <v>0</v>
      </c>
      <c r="C168" s="4">
        <v>0</v>
      </c>
      <c r="D168" s="4">
        <v>0</v>
      </c>
      <c r="E168" s="4">
        <v>0</v>
      </c>
      <c r="F168" s="4">
        <v>0</v>
      </c>
    </row>
    <row r="169" spans="1:6" x14ac:dyDescent="0.2">
      <c r="A169" s="5">
        <f t="shared" si="2"/>
        <v>160</v>
      </c>
      <c r="B169" s="4">
        <v>0</v>
      </c>
      <c r="C169" s="4">
        <v>0</v>
      </c>
      <c r="D169" s="4">
        <v>0</v>
      </c>
      <c r="E169" s="4">
        <v>0</v>
      </c>
      <c r="F169" s="4">
        <v>0</v>
      </c>
    </row>
    <row r="170" spans="1:6" x14ac:dyDescent="0.2">
      <c r="A170" s="5">
        <f t="shared" si="2"/>
        <v>161</v>
      </c>
      <c r="B170" s="4">
        <v>0</v>
      </c>
      <c r="C170" s="4">
        <v>0</v>
      </c>
      <c r="D170" s="4">
        <v>0</v>
      </c>
      <c r="E170" s="4">
        <v>0</v>
      </c>
      <c r="F170" s="4">
        <v>0</v>
      </c>
    </row>
    <row r="171" spans="1:6" x14ac:dyDescent="0.2">
      <c r="A171" s="5">
        <f t="shared" si="2"/>
        <v>162</v>
      </c>
      <c r="B171" s="4">
        <v>0</v>
      </c>
      <c r="C171" s="4">
        <v>0</v>
      </c>
      <c r="D171" s="4">
        <v>0</v>
      </c>
      <c r="E171" s="4">
        <v>0</v>
      </c>
      <c r="F171" s="4">
        <v>0</v>
      </c>
    </row>
    <row r="172" spans="1:6" x14ac:dyDescent="0.2">
      <c r="A172" s="5">
        <f t="shared" si="2"/>
        <v>163</v>
      </c>
      <c r="B172" s="4">
        <v>0</v>
      </c>
      <c r="C172" s="4">
        <v>0</v>
      </c>
      <c r="D172" s="4">
        <v>0</v>
      </c>
      <c r="E172" s="4">
        <v>0</v>
      </c>
      <c r="F172" s="4">
        <v>0</v>
      </c>
    </row>
    <row r="173" spans="1:6" x14ac:dyDescent="0.2">
      <c r="A173" s="5">
        <f t="shared" si="2"/>
        <v>164</v>
      </c>
      <c r="B173" s="4">
        <v>0</v>
      </c>
      <c r="C173" s="4">
        <v>0</v>
      </c>
      <c r="D173" s="4">
        <v>0</v>
      </c>
      <c r="E173" s="4">
        <v>0</v>
      </c>
      <c r="F173" s="4">
        <v>0</v>
      </c>
    </row>
    <row r="174" spans="1:6" x14ac:dyDescent="0.2">
      <c r="A174" s="5">
        <f t="shared" si="2"/>
        <v>165</v>
      </c>
      <c r="B174" s="4">
        <v>0</v>
      </c>
      <c r="C174" s="4">
        <v>0</v>
      </c>
      <c r="D174" s="4">
        <v>0</v>
      </c>
      <c r="E174" s="4">
        <v>0</v>
      </c>
      <c r="F174" s="4">
        <v>0</v>
      </c>
    </row>
    <row r="175" spans="1:6" x14ac:dyDescent="0.2">
      <c r="A175" s="5">
        <f t="shared" si="2"/>
        <v>166</v>
      </c>
      <c r="B175" s="4">
        <v>0</v>
      </c>
      <c r="C175" s="4">
        <v>0</v>
      </c>
      <c r="D175" s="4">
        <v>0</v>
      </c>
      <c r="E175" s="4">
        <v>0</v>
      </c>
      <c r="F175" s="4">
        <v>0</v>
      </c>
    </row>
    <row r="176" spans="1:6" x14ac:dyDescent="0.2">
      <c r="A176" s="5">
        <f t="shared" si="2"/>
        <v>167</v>
      </c>
      <c r="B176" s="4">
        <v>0</v>
      </c>
      <c r="C176" s="4">
        <v>0</v>
      </c>
      <c r="D176" s="4">
        <v>0</v>
      </c>
      <c r="E176" s="4">
        <v>0</v>
      </c>
      <c r="F176" s="4">
        <v>0</v>
      </c>
    </row>
    <row r="177" spans="1:6" x14ac:dyDescent="0.2">
      <c r="A177" s="5">
        <f t="shared" si="2"/>
        <v>168</v>
      </c>
      <c r="B177" s="4">
        <v>0</v>
      </c>
      <c r="C177" s="4">
        <v>0</v>
      </c>
      <c r="D177" s="4">
        <v>0</v>
      </c>
      <c r="E177" s="4">
        <v>0</v>
      </c>
      <c r="F177" s="4">
        <v>0</v>
      </c>
    </row>
    <row r="178" spans="1:6" x14ac:dyDescent="0.2">
      <c r="A178" s="5">
        <f t="shared" si="2"/>
        <v>169</v>
      </c>
      <c r="B178" s="4">
        <v>0</v>
      </c>
      <c r="C178" s="4">
        <v>0</v>
      </c>
      <c r="D178" s="4">
        <v>0</v>
      </c>
      <c r="E178" s="4">
        <v>0</v>
      </c>
      <c r="F178" s="4">
        <v>0</v>
      </c>
    </row>
    <row r="179" spans="1:6" x14ac:dyDescent="0.2">
      <c r="A179" s="5">
        <f t="shared" si="2"/>
        <v>170</v>
      </c>
      <c r="B179" s="4">
        <v>0</v>
      </c>
      <c r="C179" s="4">
        <v>0</v>
      </c>
      <c r="D179" s="4">
        <v>0</v>
      </c>
      <c r="E179" s="4">
        <v>0</v>
      </c>
      <c r="F179" s="4">
        <v>0</v>
      </c>
    </row>
    <row r="180" spans="1:6" x14ac:dyDescent="0.2">
      <c r="A180" s="5">
        <f t="shared" si="2"/>
        <v>171</v>
      </c>
      <c r="B180" s="4">
        <v>0</v>
      </c>
      <c r="C180" s="4">
        <v>0</v>
      </c>
      <c r="D180" s="4">
        <v>0</v>
      </c>
      <c r="E180" s="4">
        <v>0</v>
      </c>
      <c r="F180" s="4">
        <v>0</v>
      </c>
    </row>
    <row r="181" spans="1:6" x14ac:dyDescent="0.2">
      <c r="A181" s="5">
        <f t="shared" si="2"/>
        <v>172</v>
      </c>
      <c r="B181" s="4">
        <v>0</v>
      </c>
      <c r="C181" s="4">
        <v>0</v>
      </c>
      <c r="D181" s="4">
        <v>0</v>
      </c>
      <c r="E181" s="4">
        <v>0</v>
      </c>
      <c r="F181" s="4">
        <v>0</v>
      </c>
    </row>
    <row r="182" spans="1:6" x14ac:dyDescent="0.2">
      <c r="A182" s="5">
        <f t="shared" si="2"/>
        <v>173</v>
      </c>
      <c r="B182" s="4">
        <v>0</v>
      </c>
      <c r="C182" s="4">
        <v>0</v>
      </c>
      <c r="D182" s="4">
        <v>0</v>
      </c>
      <c r="E182" s="4">
        <v>0</v>
      </c>
      <c r="F182" s="4">
        <v>0</v>
      </c>
    </row>
    <row r="183" spans="1:6" x14ac:dyDescent="0.2">
      <c r="A183" s="5">
        <f t="shared" si="2"/>
        <v>174</v>
      </c>
      <c r="B183" s="4">
        <v>0</v>
      </c>
      <c r="C183" s="4">
        <v>0</v>
      </c>
      <c r="D183" s="4">
        <v>0</v>
      </c>
      <c r="E183" s="4">
        <v>0</v>
      </c>
      <c r="F183" s="4">
        <v>0</v>
      </c>
    </row>
    <row r="184" spans="1:6" x14ac:dyDescent="0.2">
      <c r="A184" s="5">
        <f t="shared" si="2"/>
        <v>175</v>
      </c>
      <c r="B184" s="4">
        <v>0</v>
      </c>
      <c r="C184" s="4">
        <v>0</v>
      </c>
      <c r="D184" s="4">
        <v>0</v>
      </c>
      <c r="E184" s="4">
        <v>0</v>
      </c>
      <c r="F184" s="4">
        <v>0</v>
      </c>
    </row>
    <row r="185" spans="1:6" x14ac:dyDescent="0.2">
      <c r="A185" s="5">
        <f t="shared" si="2"/>
        <v>176</v>
      </c>
      <c r="B185" s="4">
        <v>0</v>
      </c>
      <c r="C185" s="4">
        <v>0</v>
      </c>
      <c r="D185" s="4">
        <v>0</v>
      </c>
      <c r="E185" s="4">
        <v>0</v>
      </c>
      <c r="F185" s="4">
        <v>0</v>
      </c>
    </row>
    <row r="186" spans="1:6" x14ac:dyDescent="0.2">
      <c r="A186" s="5">
        <f t="shared" si="2"/>
        <v>177</v>
      </c>
      <c r="B186" s="4">
        <v>0</v>
      </c>
      <c r="C186" s="4">
        <v>0</v>
      </c>
      <c r="D186" s="4">
        <v>0</v>
      </c>
      <c r="E186" s="4">
        <v>0</v>
      </c>
      <c r="F186" s="4">
        <v>0</v>
      </c>
    </row>
    <row r="187" spans="1:6" x14ac:dyDescent="0.2">
      <c r="A187" s="5">
        <f t="shared" si="2"/>
        <v>178</v>
      </c>
      <c r="B187" s="4">
        <v>0</v>
      </c>
      <c r="C187" s="4">
        <v>0</v>
      </c>
      <c r="D187" s="4">
        <v>0</v>
      </c>
      <c r="E187" s="4">
        <v>0</v>
      </c>
      <c r="F187" s="4">
        <v>0</v>
      </c>
    </row>
    <row r="188" spans="1:6" x14ac:dyDescent="0.2">
      <c r="A188" s="5">
        <f t="shared" si="2"/>
        <v>179</v>
      </c>
      <c r="B188" s="4">
        <v>0</v>
      </c>
      <c r="C188" s="4">
        <v>0</v>
      </c>
      <c r="D188" s="4">
        <v>0</v>
      </c>
      <c r="E188" s="4">
        <v>0</v>
      </c>
      <c r="F188" s="4">
        <v>0</v>
      </c>
    </row>
    <row r="189" spans="1:6" x14ac:dyDescent="0.2">
      <c r="A189" s="5">
        <f t="shared" si="2"/>
        <v>180</v>
      </c>
      <c r="B189" s="4">
        <v>0</v>
      </c>
      <c r="C189" s="4">
        <v>0</v>
      </c>
      <c r="D189" s="4">
        <v>0</v>
      </c>
      <c r="E189" s="4">
        <v>0</v>
      </c>
      <c r="F189" s="4">
        <v>0</v>
      </c>
    </row>
    <row r="190" spans="1:6" x14ac:dyDescent="0.2">
      <c r="A190" s="5">
        <f t="shared" si="2"/>
        <v>181</v>
      </c>
      <c r="B190" s="4">
        <v>0</v>
      </c>
      <c r="C190" s="4">
        <v>0</v>
      </c>
      <c r="D190" s="4">
        <v>0</v>
      </c>
      <c r="E190" s="4">
        <v>0</v>
      </c>
      <c r="F190" s="4">
        <v>0</v>
      </c>
    </row>
    <row r="191" spans="1:6" x14ac:dyDescent="0.2">
      <c r="A191" s="5">
        <f t="shared" si="2"/>
        <v>182</v>
      </c>
      <c r="B191" s="4">
        <v>0</v>
      </c>
      <c r="C191" s="4">
        <v>0</v>
      </c>
      <c r="D191" s="4">
        <v>0</v>
      </c>
      <c r="E191" s="4">
        <v>0</v>
      </c>
      <c r="F191" s="4">
        <v>0</v>
      </c>
    </row>
    <row r="192" spans="1:6" x14ac:dyDescent="0.2">
      <c r="A192" s="5">
        <f t="shared" si="2"/>
        <v>183</v>
      </c>
      <c r="B192" s="4">
        <v>0</v>
      </c>
      <c r="C192" s="4">
        <v>0</v>
      </c>
      <c r="D192" s="4">
        <v>0</v>
      </c>
      <c r="E192" s="4">
        <v>0</v>
      </c>
      <c r="F192" s="4">
        <v>0</v>
      </c>
    </row>
    <row r="193" spans="1:6" x14ac:dyDescent="0.2">
      <c r="A193" s="5">
        <f t="shared" si="2"/>
        <v>184</v>
      </c>
      <c r="B193" s="4">
        <v>0</v>
      </c>
      <c r="C193" s="4">
        <v>0</v>
      </c>
      <c r="D193" s="4">
        <v>0</v>
      </c>
      <c r="E193" s="4">
        <v>0</v>
      </c>
      <c r="F193" s="4">
        <v>0</v>
      </c>
    </row>
    <row r="194" spans="1:6" x14ac:dyDescent="0.2">
      <c r="A194" s="5">
        <f t="shared" si="2"/>
        <v>185</v>
      </c>
      <c r="B194" s="4">
        <v>0</v>
      </c>
      <c r="C194" s="4">
        <v>0</v>
      </c>
      <c r="D194" s="4">
        <v>0</v>
      </c>
      <c r="E194" s="4">
        <v>0</v>
      </c>
      <c r="F194" s="4">
        <v>0</v>
      </c>
    </row>
    <row r="195" spans="1:6" x14ac:dyDescent="0.2">
      <c r="A195" s="5">
        <f t="shared" si="2"/>
        <v>186</v>
      </c>
      <c r="B195" s="4">
        <v>0</v>
      </c>
      <c r="C195" s="4">
        <v>0</v>
      </c>
      <c r="D195" s="4">
        <v>0</v>
      </c>
      <c r="E195" s="4">
        <v>0</v>
      </c>
      <c r="F195" s="4">
        <v>0</v>
      </c>
    </row>
    <row r="196" spans="1:6" x14ac:dyDescent="0.2">
      <c r="A196" s="5">
        <f t="shared" si="2"/>
        <v>187</v>
      </c>
      <c r="B196" s="4">
        <v>0</v>
      </c>
      <c r="C196" s="4">
        <v>0</v>
      </c>
      <c r="D196" s="4">
        <v>0</v>
      </c>
      <c r="E196" s="4">
        <v>0</v>
      </c>
      <c r="F196" s="4">
        <v>0</v>
      </c>
    </row>
    <row r="197" spans="1:6" x14ac:dyDescent="0.2">
      <c r="A197" s="5">
        <f t="shared" si="2"/>
        <v>188</v>
      </c>
      <c r="B197" s="4">
        <v>0</v>
      </c>
      <c r="C197" s="4">
        <v>0</v>
      </c>
      <c r="D197" s="4">
        <v>0</v>
      </c>
      <c r="E197" s="4">
        <v>0</v>
      </c>
      <c r="F197" s="4">
        <v>0</v>
      </c>
    </row>
    <row r="198" spans="1:6" x14ac:dyDescent="0.2">
      <c r="A198" s="5">
        <f t="shared" si="2"/>
        <v>189</v>
      </c>
      <c r="B198" s="4">
        <v>0</v>
      </c>
      <c r="C198" s="4">
        <v>0</v>
      </c>
      <c r="D198" s="4">
        <v>0</v>
      </c>
      <c r="E198" s="4">
        <v>0</v>
      </c>
      <c r="F198" s="4">
        <v>0</v>
      </c>
    </row>
    <row r="199" spans="1:6" x14ac:dyDescent="0.2">
      <c r="A199" s="5">
        <f t="shared" si="2"/>
        <v>190</v>
      </c>
      <c r="B199" s="4">
        <v>0</v>
      </c>
      <c r="C199" s="4">
        <v>0</v>
      </c>
      <c r="D199" s="4">
        <v>0</v>
      </c>
      <c r="E199" s="4">
        <v>0</v>
      </c>
      <c r="F199" s="4">
        <v>0</v>
      </c>
    </row>
    <row r="200" spans="1:6" x14ac:dyDescent="0.2">
      <c r="A200" s="5">
        <f t="shared" si="2"/>
        <v>191</v>
      </c>
      <c r="B200" s="4">
        <v>0</v>
      </c>
      <c r="C200" s="4">
        <v>0</v>
      </c>
      <c r="D200" s="4">
        <v>0</v>
      </c>
      <c r="E200" s="4">
        <v>0</v>
      </c>
      <c r="F200" s="4">
        <v>0</v>
      </c>
    </row>
    <row r="201" spans="1:6" x14ac:dyDescent="0.2">
      <c r="A201" s="5">
        <f t="shared" si="2"/>
        <v>192</v>
      </c>
      <c r="B201" s="4">
        <v>0</v>
      </c>
      <c r="C201" s="4">
        <v>0</v>
      </c>
      <c r="D201" s="4">
        <v>0</v>
      </c>
      <c r="E201" s="4">
        <v>0</v>
      </c>
      <c r="F201" s="4">
        <v>0</v>
      </c>
    </row>
    <row r="202" spans="1:6" x14ac:dyDescent="0.2">
      <c r="A202" s="5">
        <f t="shared" si="2"/>
        <v>193</v>
      </c>
      <c r="B202" s="4">
        <v>0</v>
      </c>
      <c r="C202" s="4">
        <v>0</v>
      </c>
      <c r="D202" s="4">
        <v>0</v>
      </c>
      <c r="E202" s="4">
        <v>0</v>
      </c>
      <c r="F202" s="4">
        <v>0</v>
      </c>
    </row>
    <row r="203" spans="1:6" x14ac:dyDescent="0.2">
      <c r="A203" s="5">
        <f t="shared" si="2"/>
        <v>194</v>
      </c>
      <c r="B203" s="4">
        <v>0</v>
      </c>
      <c r="C203" s="4">
        <v>0</v>
      </c>
      <c r="D203" s="4">
        <v>0</v>
      </c>
      <c r="E203" s="4">
        <v>0</v>
      </c>
      <c r="F203" s="4">
        <v>0</v>
      </c>
    </row>
    <row r="204" spans="1:6" x14ac:dyDescent="0.2">
      <c r="A204" s="5">
        <f t="shared" ref="A204:A267" si="3">A203+1</f>
        <v>195</v>
      </c>
      <c r="B204" s="4">
        <v>0</v>
      </c>
      <c r="C204" s="4">
        <v>0</v>
      </c>
      <c r="D204" s="4">
        <v>0</v>
      </c>
      <c r="E204" s="4">
        <v>0</v>
      </c>
      <c r="F204" s="4">
        <v>0</v>
      </c>
    </row>
    <row r="205" spans="1:6" x14ac:dyDescent="0.2">
      <c r="A205" s="5">
        <f t="shared" si="3"/>
        <v>196</v>
      </c>
      <c r="B205" s="4">
        <v>0</v>
      </c>
      <c r="C205" s="4">
        <v>0</v>
      </c>
      <c r="D205" s="4">
        <v>0</v>
      </c>
      <c r="E205" s="4">
        <v>0</v>
      </c>
      <c r="F205" s="4">
        <v>0</v>
      </c>
    </row>
    <row r="206" spans="1:6" x14ac:dyDescent="0.2">
      <c r="A206" s="5">
        <f t="shared" si="3"/>
        <v>197</v>
      </c>
      <c r="B206" s="4">
        <v>0</v>
      </c>
      <c r="C206" s="4">
        <v>0</v>
      </c>
      <c r="D206" s="4">
        <v>0</v>
      </c>
      <c r="E206" s="4">
        <v>0</v>
      </c>
      <c r="F206" s="4">
        <v>0</v>
      </c>
    </row>
    <row r="207" spans="1:6" x14ac:dyDescent="0.2">
      <c r="A207" s="5">
        <f t="shared" si="3"/>
        <v>198</v>
      </c>
      <c r="B207" s="4">
        <v>0</v>
      </c>
      <c r="C207" s="4">
        <v>0</v>
      </c>
      <c r="D207" s="4">
        <v>0</v>
      </c>
      <c r="E207" s="4">
        <v>0</v>
      </c>
      <c r="F207" s="4">
        <v>0</v>
      </c>
    </row>
    <row r="208" spans="1:6" x14ac:dyDescent="0.2">
      <c r="A208" s="5">
        <f t="shared" si="3"/>
        <v>199</v>
      </c>
      <c r="B208" s="4">
        <v>0</v>
      </c>
      <c r="C208" s="4">
        <v>0</v>
      </c>
      <c r="D208" s="4">
        <v>0</v>
      </c>
      <c r="E208" s="4">
        <v>0</v>
      </c>
      <c r="F208" s="4">
        <v>0</v>
      </c>
    </row>
    <row r="209" spans="1:6" x14ac:dyDescent="0.2">
      <c r="A209" s="5">
        <f t="shared" si="3"/>
        <v>200</v>
      </c>
      <c r="B209" s="4">
        <v>0</v>
      </c>
      <c r="C209" s="4">
        <v>0</v>
      </c>
      <c r="D209" s="4">
        <v>0</v>
      </c>
      <c r="E209" s="4">
        <v>0</v>
      </c>
      <c r="F209" s="4">
        <v>0</v>
      </c>
    </row>
    <row r="210" spans="1:6" x14ac:dyDescent="0.2">
      <c r="A210" s="5">
        <f t="shared" si="3"/>
        <v>201</v>
      </c>
      <c r="B210" s="4">
        <v>0</v>
      </c>
      <c r="C210" s="4">
        <v>0</v>
      </c>
      <c r="D210" s="4">
        <v>0</v>
      </c>
      <c r="E210" s="4">
        <v>0</v>
      </c>
      <c r="F210" s="4">
        <v>0</v>
      </c>
    </row>
    <row r="211" spans="1:6" x14ac:dyDescent="0.2">
      <c r="A211" s="5">
        <f t="shared" si="3"/>
        <v>202</v>
      </c>
      <c r="B211" s="4">
        <v>0</v>
      </c>
      <c r="C211" s="4">
        <v>0</v>
      </c>
      <c r="D211" s="4">
        <v>0</v>
      </c>
      <c r="E211" s="4">
        <v>0</v>
      </c>
      <c r="F211" s="4">
        <v>0</v>
      </c>
    </row>
    <row r="212" spans="1:6" x14ac:dyDescent="0.2">
      <c r="A212" s="5">
        <f t="shared" si="3"/>
        <v>203</v>
      </c>
      <c r="B212" s="4">
        <v>0</v>
      </c>
      <c r="C212" s="4">
        <v>0</v>
      </c>
      <c r="D212" s="4">
        <v>0</v>
      </c>
      <c r="E212" s="4">
        <v>0</v>
      </c>
      <c r="F212" s="4">
        <v>0</v>
      </c>
    </row>
    <row r="213" spans="1:6" x14ac:dyDescent="0.2">
      <c r="A213" s="5">
        <f t="shared" si="3"/>
        <v>204</v>
      </c>
      <c r="B213" s="4">
        <v>0</v>
      </c>
      <c r="C213" s="4">
        <v>0</v>
      </c>
      <c r="D213" s="4">
        <v>0</v>
      </c>
      <c r="E213" s="4">
        <v>0</v>
      </c>
      <c r="F213" s="4">
        <v>0</v>
      </c>
    </row>
    <row r="214" spans="1:6" x14ac:dyDescent="0.2">
      <c r="A214" s="5">
        <f t="shared" si="3"/>
        <v>205</v>
      </c>
      <c r="B214" s="4">
        <v>0</v>
      </c>
      <c r="C214" s="4">
        <v>0</v>
      </c>
      <c r="D214" s="4">
        <v>0</v>
      </c>
      <c r="E214" s="4">
        <v>0</v>
      </c>
      <c r="F214" s="4">
        <v>0</v>
      </c>
    </row>
    <row r="215" spans="1:6" x14ac:dyDescent="0.2">
      <c r="A215" s="5">
        <f t="shared" si="3"/>
        <v>206</v>
      </c>
      <c r="B215" s="4">
        <v>0</v>
      </c>
      <c r="C215" s="4">
        <v>0</v>
      </c>
      <c r="D215" s="4">
        <v>0</v>
      </c>
      <c r="E215" s="4">
        <v>0</v>
      </c>
      <c r="F215" s="4">
        <v>0</v>
      </c>
    </row>
    <row r="216" spans="1:6" x14ac:dyDescent="0.2">
      <c r="A216" s="5">
        <f t="shared" si="3"/>
        <v>207</v>
      </c>
      <c r="B216" s="4">
        <v>0</v>
      </c>
      <c r="C216" s="4">
        <v>0</v>
      </c>
      <c r="D216" s="4">
        <v>0</v>
      </c>
      <c r="E216" s="4">
        <v>0</v>
      </c>
      <c r="F216" s="4">
        <v>0</v>
      </c>
    </row>
    <row r="217" spans="1:6" x14ac:dyDescent="0.2">
      <c r="A217" s="5">
        <f t="shared" si="3"/>
        <v>208</v>
      </c>
      <c r="B217" s="4">
        <v>0</v>
      </c>
      <c r="C217" s="4">
        <v>0</v>
      </c>
      <c r="D217" s="4">
        <v>0</v>
      </c>
      <c r="E217" s="4">
        <v>0</v>
      </c>
      <c r="F217" s="4">
        <v>0</v>
      </c>
    </row>
    <row r="218" spans="1:6" x14ac:dyDescent="0.2">
      <c r="A218" s="5">
        <f t="shared" si="3"/>
        <v>209</v>
      </c>
      <c r="B218" s="4">
        <v>0</v>
      </c>
      <c r="C218" s="4">
        <v>0</v>
      </c>
      <c r="D218" s="4">
        <v>0</v>
      </c>
      <c r="E218" s="4">
        <v>0</v>
      </c>
      <c r="F218" s="4">
        <v>0</v>
      </c>
    </row>
    <row r="219" spans="1:6" x14ac:dyDescent="0.2">
      <c r="A219" s="5">
        <f t="shared" si="3"/>
        <v>210</v>
      </c>
      <c r="B219" s="4">
        <v>0</v>
      </c>
      <c r="C219" s="4">
        <v>0</v>
      </c>
      <c r="D219" s="4">
        <v>0</v>
      </c>
      <c r="E219" s="4">
        <v>0</v>
      </c>
      <c r="F219" s="4">
        <v>0</v>
      </c>
    </row>
    <row r="220" spans="1:6" x14ac:dyDescent="0.2">
      <c r="A220" s="5">
        <f t="shared" si="3"/>
        <v>211</v>
      </c>
      <c r="B220" s="4">
        <v>0</v>
      </c>
      <c r="C220" s="4">
        <v>0</v>
      </c>
      <c r="D220" s="4">
        <v>0</v>
      </c>
      <c r="E220" s="4">
        <v>0</v>
      </c>
      <c r="F220" s="4">
        <v>0</v>
      </c>
    </row>
    <row r="221" spans="1:6" x14ac:dyDescent="0.2">
      <c r="A221" s="5">
        <f t="shared" si="3"/>
        <v>212</v>
      </c>
      <c r="B221" s="4">
        <v>0</v>
      </c>
      <c r="C221" s="4">
        <v>0</v>
      </c>
      <c r="D221" s="4">
        <v>0</v>
      </c>
      <c r="E221" s="4">
        <v>0</v>
      </c>
      <c r="F221" s="4">
        <v>0</v>
      </c>
    </row>
    <row r="222" spans="1:6" x14ac:dyDescent="0.2">
      <c r="A222" s="5">
        <f t="shared" si="3"/>
        <v>213</v>
      </c>
      <c r="B222" s="4">
        <v>0</v>
      </c>
      <c r="C222" s="4">
        <v>0</v>
      </c>
      <c r="D222" s="4">
        <v>0</v>
      </c>
      <c r="E222" s="4">
        <v>0</v>
      </c>
      <c r="F222" s="4">
        <v>0</v>
      </c>
    </row>
    <row r="223" spans="1:6" x14ac:dyDescent="0.2">
      <c r="A223" s="5">
        <f t="shared" si="3"/>
        <v>214</v>
      </c>
      <c r="B223" s="4">
        <v>0</v>
      </c>
      <c r="C223" s="4">
        <v>0</v>
      </c>
      <c r="D223" s="4">
        <v>0</v>
      </c>
      <c r="E223" s="4">
        <v>0</v>
      </c>
      <c r="F223" s="4">
        <v>0</v>
      </c>
    </row>
    <row r="224" spans="1:6" x14ac:dyDescent="0.2">
      <c r="A224" s="5">
        <f t="shared" si="3"/>
        <v>215</v>
      </c>
      <c r="B224" s="4">
        <v>0</v>
      </c>
      <c r="C224" s="4">
        <v>0</v>
      </c>
      <c r="D224" s="4">
        <v>0</v>
      </c>
      <c r="E224" s="4">
        <v>0</v>
      </c>
      <c r="F224" s="4">
        <v>0</v>
      </c>
    </row>
    <row r="225" spans="1:6" x14ac:dyDescent="0.2">
      <c r="A225" s="5">
        <f t="shared" si="3"/>
        <v>216</v>
      </c>
      <c r="B225" s="4">
        <v>0</v>
      </c>
      <c r="C225" s="4">
        <v>0</v>
      </c>
      <c r="D225" s="4">
        <v>0</v>
      </c>
      <c r="E225" s="4">
        <v>0</v>
      </c>
      <c r="F225" s="4">
        <v>0</v>
      </c>
    </row>
    <row r="226" spans="1:6" x14ac:dyDescent="0.2">
      <c r="A226" s="5">
        <f t="shared" si="3"/>
        <v>217</v>
      </c>
      <c r="B226" s="4">
        <v>0</v>
      </c>
      <c r="C226" s="4">
        <v>0</v>
      </c>
      <c r="D226" s="4">
        <v>0</v>
      </c>
      <c r="E226" s="4">
        <v>0</v>
      </c>
      <c r="F226" s="4">
        <v>0</v>
      </c>
    </row>
    <row r="227" spans="1:6" x14ac:dyDescent="0.2">
      <c r="A227" s="5">
        <f t="shared" si="3"/>
        <v>218</v>
      </c>
      <c r="B227" s="4">
        <v>0</v>
      </c>
      <c r="C227" s="4">
        <v>0</v>
      </c>
      <c r="D227" s="4">
        <v>0</v>
      </c>
      <c r="E227" s="4">
        <v>0</v>
      </c>
      <c r="F227" s="4">
        <v>0</v>
      </c>
    </row>
    <row r="228" spans="1:6" x14ac:dyDescent="0.2">
      <c r="A228" s="5">
        <f t="shared" si="3"/>
        <v>219</v>
      </c>
      <c r="B228" s="4">
        <v>0</v>
      </c>
      <c r="C228" s="4">
        <v>0</v>
      </c>
      <c r="D228" s="4">
        <v>0</v>
      </c>
      <c r="E228" s="4">
        <v>0</v>
      </c>
      <c r="F228" s="4">
        <v>0</v>
      </c>
    </row>
    <row r="229" spans="1:6" x14ac:dyDescent="0.2">
      <c r="A229" s="5">
        <f t="shared" si="3"/>
        <v>220</v>
      </c>
      <c r="B229" s="4">
        <v>0</v>
      </c>
      <c r="C229" s="4">
        <v>0</v>
      </c>
      <c r="D229" s="4">
        <v>0</v>
      </c>
      <c r="E229" s="4">
        <v>0</v>
      </c>
      <c r="F229" s="4">
        <v>0</v>
      </c>
    </row>
    <row r="230" spans="1:6" x14ac:dyDescent="0.2">
      <c r="A230" s="5">
        <f t="shared" si="3"/>
        <v>221</v>
      </c>
      <c r="B230" s="4">
        <v>0</v>
      </c>
      <c r="C230" s="4">
        <v>0</v>
      </c>
      <c r="D230" s="4">
        <v>0</v>
      </c>
      <c r="E230" s="4">
        <v>0</v>
      </c>
      <c r="F230" s="4">
        <v>0</v>
      </c>
    </row>
    <row r="231" spans="1:6" x14ac:dyDescent="0.2">
      <c r="A231" s="5">
        <f t="shared" si="3"/>
        <v>222</v>
      </c>
      <c r="B231" s="4">
        <v>0</v>
      </c>
      <c r="C231" s="4">
        <v>0</v>
      </c>
      <c r="D231" s="4">
        <v>0</v>
      </c>
      <c r="E231" s="4">
        <v>0</v>
      </c>
      <c r="F231" s="4">
        <v>0</v>
      </c>
    </row>
    <row r="232" spans="1:6" x14ac:dyDescent="0.2">
      <c r="A232" s="5">
        <f t="shared" si="3"/>
        <v>223</v>
      </c>
      <c r="B232" s="4">
        <v>0</v>
      </c>
      <c r="C232" s="4">
        <v>0</v>
      </c>
      <c r="D232" s="4">
        <v>0</v>
      </c>
      <c r="E232" s="4">
        <v>0</v>
      </c>
      <c r="F232" s="4">
        <v>0</v>
      </c>
    </row>
    <row r="233" spans="1:6" x14ac:dyDescent="0.2">
      <c r="A233" s="5">
        <f t="shared" si="3"/>
        <v>224</v>
      </c>
      <c r="B233" s="4">
        <v>0</v>
      </c>
      <c r="C233" s="4">
        <v>0</v>
      </c>
      <c r="D233" s="4">
        <v>0</v>
      </c>
      <c r="E233" s="4">
        <v>0</v>
      </c>
      <c r="F233" s="4">
        <v>0</v>
      </c>
    </row>
    <row r="234" spans="1:6" x14ac:dyDescent="0.2">
      <c r="A234" s="5">
        <f t="shared" si="3"/>
        <v>225</v>
      </c>
      <c r="B234" s="4">
        <v>0</v>
      </c>
      <c r="C234" s="4">
        <v>0</v>
      </c>
      <c r="D234" s="4">
        <v>0</v>
      </c>
      <c r="E234" s="4">
        <v>0</v>
      </c>
      <c r="F234" s="4">
        <v>0</v>
      </c>
    </row>
    <row r="235" spans="1:6" x14ac:dyDescent="0.2">
      <c r="A235" s="5">
        <f t="shared" si="3"/>
        <v>226</v>
      </c>
      <c r="B235" s="4">
        <v>0</v>
      </c>
      <c r="C235" s="4">
        <v>0</v>
      </c>
      <c r="D235" s="4">
        <v>0</v>
      </c>
      <c r="E235" s="4">
        <v>0</v>
      </c>
      <c r="F235" s="4">
        <v>0</v>
      </c>
    </row>
    <row r="236" spans="1:6" x14ac:dyDescent="0.2">
      <c r="A236" s="5">
        <f t="shared" si="3"/>
        <v>227</v>
      </c>
      <c r="B236" s="4">
        <v>0</v>
      </c>
      <c r="C236" s="4">
        <v>0</v>
      </c>
      <c r="D236" s="4">
        <v>0</v>
      </c>
      <c r="E236" s="4">
        <v>0</v>
      </c>
      <c r="F236" s="4">
        <v>0</v>
      </c>
    </row>
    <row r="237" spans="1:6" x14ac:dyDescent="0.2">
      <c r="A237" s="5">
        <f t="shared" si="3"/>
        <v>228</v>
      </c>
      <c r="B237" s="4">
        <v>0</v>
      </c>
      <c r="C237" s="4">
        <v>0</v>
      </c>
      <c r="D237" s="4">
        <v>0</v>
      </c>
      <c r="E237" s="4">
        <v>0</v>
      </c>
      <c r="F237" s="4">
        <v>0</v>
      </c>
    </row>
    <row r="238" spans="1:6" x14ac:dyDescent="0.2">
      <c r="A238" s="5">
        <f t="shared" si="3"/>
        <v>229</v>
      </c>
      <c r="B238" s="4">
        <v>0</v>
      </c>
      <c r="C238" s="4">
        <v>0</v>
      </c>
      <c r="D238" s="4">
        <v>0</v>
      </c>
      <c r="E238" s="4">
        <v>0</v>
      </c>
      <c r="F238" s="4">
        <v>0</v>
      </c>
    </row>
    <row r="239" spans="1:6" x14ac:dyDescent="0.2">
      <c r="A239" s="5">
        <f t="shared" si="3"/>
        <v>230</v>
      </c>
      <c r="B239" s="4">
        <v>0</v>
      </c>
      <c r="C239" s="4">
        <v>0</v>
      </c>
      <c r="D239" s="4">
        <v>0</v>
      </c>
      <c r="E239" s="4">
        <v>0</v>
      </c>
      <c r="F239" s="4">
        <v>0</v>
      </c>
    </row>
    <row r="240" spans="1:6" x14ac:dyDescent="0.2">
      <c r="A240" s="5">
        <f t="shared" si="3"/>
        <v>231</v>
      </c>
      <c r="B240" s="4">
        <v>0</v>
      </c>
      <c r="C240" s="4">
        <v>0</v>
      </c>
      <c r="D240" s="4">
        <v>0</v>
      </c>
      <c r="E240" s="4">
        <v>0</v>
      </c>
      <c r="F240" s="4">
        <v>0</v>
      </c>
    </row>
    <row r="241" spans="1:6" x14ac:dyDescent="0.2">
      <c r="A241" s="5">
        <f t="shared" si="3"/>
        <v>232</v>
      </c>
      <c r="B241" s="4">
        <v>0</v>
      </c>
      <c r="C241" s="4">
        <v>0</v>
      </c>
      <c r="D241" s="4">
        <v>0</v>
      </c>
      <c r="E241" s="4">
        <v>0</v>
      </c>
      <c r="F241" s="4">
        <v>0</v>
      </c>
    </row>
    <row r="242" spans="1:6" x14ac:dyDescent="0.2">
      <c r="A242" s="5">
        <f t="shared" si="3"/>
        <v>233</v>
      </c>
      <c r="B242" s="4">
        <v>0</v>
      </c>
      <c r="C242" s="4">
        <v>0</v>
      </c>
      <c r="D242" s="4">
        <v>0</v>
      </c>
      <c r="E242" s="4">
        <v>0</v>
      </c>
      <c r="F242" s="4">
        <v>0</v>
      </c>
    </row>
    <row r="243" spans="1:6" x14ac:dyDescent="0.2">
      <c r="A243" s="5">
        <f t="shared" si="3"/>
        <v>234</v>
      </c>
      <c r="B243" s="4">
        <v>0</v>
      </c>
      <c r="C243" s="4">
        <v>0</v>
      </c>
      <c r="D243" s="4">
        <v>0</v>
      </c>
      <c r="E243" s="4">
        <v>0</v>
      </c>
      <c r="F243" s="4">
        <v>0</v>
      </c>
    </row>
    <row r="244" spans="1:6" x14ac:dyDescent="0.2">
      <c r="A244" s="5">
        <f t="shared" si="3"/>
        <v>235</v>
      </c>
      <c r="B244" s="4">
        <v>0</v>
      </c>
      <c r="C244" s="4">
        <v>0</v>
      </c>
      <c r="D244" s="4">
        <v>0</v>
      </c>
      <c r="E244" s="4">
        <v>0</v>
      </c>
      <c r="F244" s="4">
        <v>0</v>
      </c>
    </row>
    <row r="245" spans="1:6" x14ac:dyDescent="0.2">
      <c r="A245" s="5">
        <f t="shared" si="3"/>
        <v>236</v>
      </c>
      <c r="B245" s="4">
        <v>0</v>
      </c>
      <c r="C245" s="4">
        <v>0</v>
      </c>
      <c r="D245" s="4">
        <v>0</v>
      </c>
      <c r="E245" s="4">
        <v>0</v>
      </c>
      <c r="F245" s="4">
        <v>0</v>
      </c>
    </row>
    <row r="246" spans="1:6" x14ac:dyDescent="0.2">
      <c r="A246" s="5">
        <f t="shared" si="3"/>
        <v>237</v>
      </c>
      <c r="B246" s="4">
        <v>0</v>
      </c>
      <c r="C246" s="4">
        <v>0</v>
      </c>
      <c r="D246" s="4">
        <v>0</v>
      </c>
      <c r="E246" s="4">
        <v>0</v>
      </c>
      <c r="F246" s="4">
        <v>0</v>
      </c>
    </row>
    <row r="247" spans="1:6" x14ac:dyDescent="0.2">
      <c r="A247" s="5">
        <f t="shared" si="3"/>
        <v>238</v>
      </c>
      <c r="B247" s="4">
        <v>0</v>
      </c>
      <c r="C247" s="4">
        <v>0</v>
      </c>
      <c r="D247" s="4">
        <v>0</v>
      </c>
      <c r="E247" s="4">
        <v>0</v>
      </c>
      <c r="F247" s="4">
        <v>0</v>
      </c>
    </row>
    <row r="248" spans="1:6" x14ac:dyDescent="0.2">
      <c r="A248" s="5">
        <f t="shared" si="3"/>
        <v>239</v>
      </c>
      <c r="B248" s="4">
        <v>0</v>
      </c>
      <c r="C248" s="4">
        <v>0</v>
      </c>
      <c r="D248" s="4">
        <v>0</v>
      </c>
      <c r="E248" s="4">
        <v>0</v>
      </c>
      <c r="F248" s="4">
        <v>0</v>
      </c>
    </row>
    <row r="249" spans="1:6" x14ac:dyDescent="0.2">
      <c r="A249" s="5">
        <f t="shared" si="3"/>
        <v>240</v>
      </c>
      <c r="B249" s="4">
        <v>0</v>
      </c>
      <c r="C249" s="4">
        <v>0</v>
      </c>
      <c r="D249" s="4">
        <v>0</v>
      </c>
      <c r="E249" s="4">
        <v>0</v>
      </c>
      <c r="F249" s="4">
        <v>0</v>
      </c>
    </row>
    <row r="250" spans="1:6" x14ac:dyDescent="0.2">
      <c r="A250" s="5">
        <f t="shared" si="3"/>
        <v>241</v>
      </c>
      <c r="B250" s="4">
        <v>0</v>
      </c>
      <c r="C250" s="4">
        <v>0</v>
      </c>
      <c r="D250" s="4">
        <v>0</v>
      </c>
      <c r="E250" s="4">
        <v>0</v>
      </c>
      <c r="F250" s="4">
        <v>0</v>
      </c>
    </row>
    <row r="251" spans="1:6" x14ac:dyDescent="0.2">
      <c r="A251" s="5">
        <f t="shared" si="3"/>
        <v>242</v>
      </c>
      <c r="B251" s="4">
        <v>0</v>
      </c>
      <c r="C251" s="4">
        <v>0</v>
      </c>
      <c r="D251" s="4">
        <v>0</v>
      </c>
      <c r="E251" s="4">
        <v>0</v>
      </c>
      <c r="F251" s="4">
        <v>0</v>
      </c>
    </row>
    <row r="252" spans="1:6" x14ac:dyDescent="0.2">
      <c r="A252" s="5">
        <f t="shared" si="3"/>
        <v>243</v>
      </c>
      <c r="B252" s="4">
        <v>0</v>
      </c>
      <c r="C252" s="4">
        <v>0</v>
      </c>
      <c r="D252" s="4">
        <v>0</v>
      </c>
      <c r="E252" s="4">
        <v>0</v>
      </c>
      <c r="F252" s="4">
        <v>0</v>
      </c>
    </row>
    <row r="253" spans="1:6" x14ac:dyDescent="0.2">
      <c r="A253" s="5">
        <f t="shared" si="3"/>
        <v>244</v>
      </c>
      <c r="B253" s="4">
        <v>0</v>
      </c>
      <c r="C253" s="4">
        <v>0</v>
      </c>
      <c r="D253" s="4">
        <v>0</v>
      </c>
      <c r="E253" s="4">
        <v>0</v>
      </c>
      <c r="F253" s="4">
        <v>0</v>
      </c>
    </row>
    <row r="254" spans="1:6" x14ac:dyDescent="0.2">
      <c r="A254" s="5">
        <f t="shared" si="3"/>
        <v>245</v>
      </c>
      <c r="B254" s="4">
        <v>0</v>
      </c>
      <c r="C254" s="4">
        <v>0</v>
      </c>
      <c r="D254" s="4">
        <v>0</v>
      </c>
      <c r="E254" s="4">
        <v>0</v>
      </c>
      <c r="F254" s="4">
        <v>0</v>
      </c>
    </row>
    <row r="255" spans="1:6" x14ac:dyDescent="0.2">
      <c r="A255" s="5">
        <f t="shared" si="3"/>
        <v>246</v>
      </c>
      <c r="B255" s="4">
        <v>0</v>
      </c>
      <c r="C255" s="4">
        <v>0</v>
      </c>
      <c r="D255" s="4">
        <v>0</v>
      </c>
      <c r="E255" s="4">
        <v>0</v>
      </c>
      <c r="F255" s="4">
        <v>0</v>
      </c>
    </row>
    <row r="256" spans="1:6" x14ac:dyDescent="0.2">
      <c r="A256" s="5">
        <f t="shared" si="3"/>
        <v>247</v>
      </c>
      <c r="B256" s="4">
        <v>0</v>
      </c>
      <c r="C256" s="4">
        <v>0</v>
      </c>
      <c r="D256" s="4">
        <v>0</v>
      </c>
      <c r="E256" s="4">
        <v>0</v>
      </c>
      <c r="F256" s="4">
        <v>0</v>
      </c>
    </row>
    <row r="257" spans="1:6" x14ac:dyDescent="0.2">
      <c r="A257" s="5">
        <f t="shared" si="3"/>
        <v>248</v>
      </c>
      <c r="B257" s="4">
        <v>0</v>
      </c>
      <c r="C257" s="4">
        <v>0</v>
      </c>
      <c r="D257" s="4">
        <v>0</v>
      </c>
      <c r="E257" s="4">
        <v>0</v>
      </c>
      <c r="F257" s="4">
        <v>0</v>
      </c>
    </row>
    <row r="258" spans="1:6" x14ac:dyDescent="0.2">
      <c r="A258" s="5">
        <f t="shared" si="3"/>
        <v>249</v>
      </c>
      <c r="B258" s="4">
        <v>0</v>
      </c>
      <c r="C258" s="4">
        <v>0</v>
      </c>
      <c r="D258" s="4">
        <v>0</v>
      </c>
      <c r="E258" s="4">
        <v>0</v>
      </c>
      <c r="F258" s="4">
        <v>0</v>
      </c>
    </row>
    <row r="259" spans="1:6" x14ac:dyDescent="0.2">
      <c r="A259" s="5">
        <f t="shared" si="3"/>
        <v>250</v>
      </c>
      <c r="B259" s="4">
        <v>0</v>
      </c>
      <c r="C259" s="4">
        <v>0</v>
      </c>
      <c r="D259" s="4">
        <v>0</v>
      </c>
      <c r="E259" s="4">
        <v>0</v>
      </c>
      <c r="F259" s="4">
        <v>0</v>
      </c>
    </row>
    <row r="260" spans="1:6" x14ac:dyDescent="0.2">
      <c r="A260" s="5">
        <f t="shared" si="3"/>
        <v>251</v>
      </c>
      <c r="B260" s="4">
        <v>0</v>
      </c>
      <c r="C260" s="4">
        <v>0</v>
      </c>
      <c r="D260" s="4">
        <v>0</v>
      </c>
      <c r="E260" s="4">
        <v>0</v>
      </c>
      <c r="F260" s="4">
        <v>0</v>
      </c>
    </row>
    <row r="261" spans="1:6" x14ac:dyDescent="0.2">
      <c r="A261" s="5">
        <f t="shared" si="3"/>
        <v>252</v>
      </c>
      <c r="B261" s="4">
        <v>0</v>
      </c>
      <c r="C261" s="4">
        <v>0</v>
      </c>
      <c r="D261" s="4">
        <v>0</v>
      </c>
      <c r="E261" s="4">
        <v>0</v>
      </c>
      <c r="F261" s="4">
        <v>0</v>
      </c>
    </row>
    <row r="262" spans="1:6" x14ac:dyDescent="0.2">
      <c r="A262" s="5">
        <f t="shared" si="3"/>
        <v>253</v>
      </c>
      <c r="B262" s="4">
        <v>0</v>
      </c>
      <c r="C262" s="4">
        <v>0</v>
      </c>
      <c r="D262" s="4">
        <v>0</v>
      </c>
      <c r="E262" s="4">
        <v>0</v>
      </c>
      <c r="F262" s="4">
        <v>0</v>
      </c>
    </row>
    <row r="263" spans="1:6" x14ac:dyDescent="0.2">
      <c r="A263" s="5">
        <f t="shared" si="3"/>
        <v>254</v>
      </c>
      <c r="B263" s="4">
        <v>0</v>
      </c>
      <c r="C263" s="4">
        <v>0</v>
      </c>
      <c r="D263" s="4">
        <v>0</v>
      </c>
      <c r="E263" s="4">
        <v>0</v>
      </c>
      <c r="F263" s="4">
        <v>0</v>
      </c>
    </row>
    <row r="264" spans="1:6" x14ac:dyDescent="0.2">
      <c r="A264" s="5">
        <f t="shared" si="3"/>
        <v>255</v>
      </c>
      <c r="B264" s="4">
        <v>0</v>
      </c>
      <c r="C264" s="4">
        <v>0</v>
      </c>
      <c r="D264" s="4">
        <v>0</v>
      </c>
      <c r="E264" s="4">
        <v>0</v>
      </c>
      <c r="F264" s="4">
        <v>0</v>
      </c>
    </row>
    <row r="265" spans="1:6" x14ac:dyDescent="0.2">
      <c r="A265" s="5">
        <f t="shared" si="3"/>
        <v>256</v>
      </c>
      <c r="B265" s="4">
        <v>0</v>
      </c>
      <c r="C265" s="4">
        <v>0</v>
      </c>
      <c r="D265" s="4">
        <v>0</v>
      </c>
      <c r="E265" s="4">
        <v>0</v>
      </c>
      <c r="F265" s="4">
        <v>0</v>
      </c>
    </row>
    <row r="266" spans="1:6" x14ac:dyDescent="0.2">
      <c r="A266" s="5">
        <f t="shared" si="3"/>
        <v>257</v>
      </c>
      <c r="B266" s="4">
        <v>0</v>
      </c>
      <c r="C266" s="4">
        <v>0</v>
      </c>
      <c r="D266" s="4">
        <v>0</v>
      </c>
      <c r="E266" s="4">
        <v>0</v>
      </c>
      <c r="F266" s="4">
        <v>0</v>
      </c>
    </row>
    <row r="267" spans="1:6" x14ac:dyDescent="0.2">
      <c r="A267" s="5">
        <f t="shared" si="3"/>
        <v>258</v>
      </c>
      <c r="B267" s="4">
        <v>0</v>
      </c>
      <c r="C267" s="4">
        <v>0</v>
      </c>
      <c r="D267" s="4">
        <v>0</v>
      </c>
      <c r="E267" s="4">
        <v>0</v>
      </c>
      <c r="F267" s="4">
        <v>0</v>
      </c>
    </row>
    <row r="268" spans="1:6" x14ac:dyDescent="0.2">
      <c r="A268" s="5">
        <f t="shared" ref="A268:A331" si="4">A267+1</f>
        <v>259</v>
      </c>
      <c r="B268" s="4">
        <v>0</v>
      </c>
      <c r="C268" s="4">
        <v>0</v>
      </c>
      <c r="D268" s="4">
        <v>0</v>
      </c>
      <c r="E268" s="4">
        <v>0</v>
      </c>
      <c r="F268" s="4">
        <v>0</v>
      </c>
    </row>
    <row r="269" spans="1:6" x14ac:dyDescent="0.2">
      <c r="A269" s="5">
        <f t="shared" si="4"/>
        <v>260</v>
      </c>
      <c r="B269" s="4">
        <v>0</v>
      </c>
      <c r="C269" s="4">
        <v>0</v>
      </c>
      <c r="D269" s="4">
        <v>0</v>
      </c>
      <c r="E269" s="4">
        <v>0</v>
      </c>
      <c r="F269" s="4">
        <v>0</v>
      </c>
    </row>
    <row r="270" spans="1:6" x14ac:dyDescent="0.2">
      <c r="A270" s="5">
        <f t="shared" si="4"/>
        <v>261</v>
      </c>
      <c r="B270" s="4">
        <v>0</v>
      </c>
      <c r="C270" s="4">
        <v>0</v>
      </c>
      <c r="D270" s="4">
        <v>0</v>
      </c>
      <c r="E270" s="4">
        <v>0</v>
      </c>
      <c r="F270" s="4">
        <v>0</v>
      </c>
    </row>
    <row r="271" spans="1:6" x14ac:dyDescent="0.2">
      <c r="A271" s="5">
        <f t="shared" si="4"/>
        <v>262</v>
      </c>
      <c r="B271" s="4">
        <v>0</v>
      </c>
      <c r="C271" s="4">
        <v>0</v>
      </c>
      <c r="D271" s="4">
        <v>0</v>
      </c>
      <c r="E271" s="4">
        <v>0</v>
      </c>
      <c r="F271" s="4">
        <v>0</v>
      </c>
    </row>
    <row r="272" spans="1:6" x14ac:dyDescent="0.2">
      <c r="A272" s="5">
        <f t="shared" si="4"/>
        <v>263</v>
      </c>
      <c r="B272" s="4">
        <v>0</v>
      </c>
      <c r="C272" s="4">
        <v>0</v>
      </c>
      <c r="D272" s="4">
        <v>0</v>
      </c>
      <c r="E272" s="4">
        <v>0</v>
      </c>
      <c r="F272" s="4">
        <v>0</v>
      </c>
    </row>
    <row r="273" spans="1:6" x14ac:dyDescent="0.2">
      <c r="A273" s="5">
        <f t="shared" si="4"/>
        <v>264</v>
      </c>
      <c r="B273" s="4">
        <v>0</v>
      </c>
      <c r="C273" s="4">
        <v>0</v>
      </c>
      <c r="D273" s="4">
        <v>0</v>
      </c>
      <c r="E273" s="4">
        <v>0</v>
      </c>
      <c r="F273" s="4">
        <v>0</v>
      </c>
    </row>
    <row r="274" spans="1:6" x14ac:dyDescent="0.2">
      <c r="A274" s="5">
        <f t="shared" si="4"/>
        <v>265</v>
      </c>
      <c r="B274" s="4">
        <v>0</v>
      </c>
      <c r="C274" s="4">
        <v>0</v>
      </c>
      <c r="D274" s="4">
        <v>0</v>
      </c>
      <c r="E274" s="4">
        <v>0</v>
      </c>
      <c r="F274" s="4">
        <v>0</v>
      </c>
    </row>
    <row r="275" spans="1:6" x14ac:dyDescent="0.2">
      <c r="A275" s="5">
        <f t="shared" si="4"/>
        <v>266</v>
      </c>
      <c r="B275" s="4">
        <v>0</v>
      </c>
      <c r="C275" s="4">
        <v>0</v>
      </c>
      <c r="D275" s="4">
        <v>0</v>
      </c>
      <c r="E275" s="4">
        <v>0</v>
      </c>
      <c r="F275" s="4">
        <v>0</v>
      </c>
    </row>
    <row r="276" spans="1:6" x14ac:dyDescent="0.2">
      <c r="A276" s="5">
        <f t="shared" si="4"/>
        <v>267</v>
      </c>
      <c r="B276" s="4">
        <v>0</v>
      </c>
      <c r="C276" s="4">
        <v>0</v>
      </c>
      <c r="D276" s="4">
        <v>0</v>
      </c>
      <c r="E276" s="4">
        <v>0</v>
      </c>
      <c r="F276" s="4">
        <v>0</v>
      </c>
    </row>
    <row r="277" spans="1:6" x14ac:dyDescent="0.2">
      <c r="A277" s="5">
        <f t="shared" si="4"/>
        <v>268</v>
      </c>
      <c r="B277" s="4">
        <v>0</v>
      </c>
      <c r="C277" s="4">
        <v>0</v>
      </c>
      <c r="D277" s="4">
        <v>0</v>
      </c>
      <c r="E277" s="4">
        <v>0</v>
      </c>
      <c r="F277" s="4">
        <v>0</v>
      </c>
    </row>
    <row r="278" spans="1:6" x14ac:dyDescent="0.2">
      <c r="A278" s="5">
        <f t="shared" si="4"/>
        <v>269</v>
      </c>
      <c r="B278" s="4">
        <v>0</v>
      </c>
      <c r="C278" s="4">
        <v>0</v>
      </c>
      <c r="D278" s="4">
        <v>0</v>
      </c>
      <c r="E278" s="4">
        <v>0</v>
      </c>
      <c r="F278" s="4">
        <v>0</v>
      </c>
    </row>
    <row r="279" spans="1:6" x14ac:dyDescent="0.2">
      <c r="A279" s="5">
        <f t="shared" si="4"/>
        <v>270</v>
      </c>
      <c r="B279" s="4">
        <v>0</v>
      </c>
      <c r="C279" s="4">
        <v>0</v>
      </c>
      <c r="D279" s="4">
        <v>0</v>
      </c>
      <c r="E279" s="4">
        <v>0</v>
      </c>
      <c r="F279" s="4">
        <v>0</v>
      </c>
    </row>
    <row r="280" spans="1:6" x14ac:dyDescent="0.2">
      <c r="A280" s="5">
        <f t="shared" si="4"/>
        <v>271</v>
      </c>
      <c r="B280" s="4">
        <v>0</v>
      </c>
      <c r="C280" s="4">
        <v>0</v>
      </c>
      <c r="D280" s="4">
        <v>0</v>
      </c>
      <c r="E280" s="4">
        <v>0</v>
      </c>
      <c r="F280" s="4">
        <v>0</v>
      </c>
    </row>
    <row r="281" spans="1:6" x14ac:dyDescent="0.2">
      <c r="A281" s="5">
        <f t="shared" si="4"/>
        <v>272</v>
      </c>
      <c r="B281" s="4">
        <v>0</v>
      </c>
      <c r="C281" s="4">
        <v>0</v>
      </c>
      <c r="D281" s="4">
        <v>0</v>
      </c>
      <c r="E281" s="4">
        <v>0</v>
      </c>
      <c r="F281" s="4">
        <v>0</v>
      </c>
    </row>
    <row r="282" spans="1:6" x14ac:dyDescent="0.2">
      <c r="A282" s="5">
        <f t="shared" si="4"/>
        <v>273</v>
      </c>
      <c r="B282" s="4">
        <v>0</v>
      </c>
      <c r="C282" s="4">
        <v>0</v>
      </c>
      <c r="D282" s="4">
        <v>0</v>
      </c>
      <c r="E282" s="4">
        <v>0</v>
      </c>
      <c r="F282" s="4">
        <v>0</v>
      </c>
    </row>
    <row r="283" spans="1:6" x14ac:dyDescent="0.2">
      <c r="A283" s="5">
        <f t="shared" si="4"/>
        <v>274</v>
      </c>
      <c r="B283" s="4">
        <v>0</v>
      </c>
      <c r="C283" s="4">
        <v>0</v>
      </c>
      <c r="D283" s="4">
        <v>0</v>
      </c>
      <c r="E283" s="4">
        <v>0</v>
      </c>
      <c r="F283" s="4">
        <v>0</v>
      </c>
    </row>
    <row r="284" spans="1:6" x14ac:dyDescent="0.2">
      <c r="A284" s="5">
        <f t="shared" si="4"/>
        <v>275</v>
      </c>
      <c r="B284" s="4">
        <v>0</v>
      </c>
      <c r="C284" s="4">
        <v>0</v>
      </c>
      <c r="D284" s="4">
        <v>0</v>
      </c>
      <c r="E284" s="4">
        <v>0</v>
      </c>
      <c r="F284" s="4">
        <v>0</v>
      </c>
    </row>
    <row r="285" spans="1:6" x14ac:dyDescent="0.2">
      <c r="A285" s="5">
        <f t="shared" si="4"/>
        <v>276</v>
      </c>
      <c r="B285" s="4">
        <v>0</v>
      </c>
      <c r="C285" s="4">
        <v>0</v>
      </c>
      <c r="D285" s="4">
        <v>0</v>
      </c>
      <c r="E285" s="4">
        <v>0</v>
      </c>
      <c r="F285" s="4">
        <v>0</v>
      </c>
    </row>
    <row r="286" spans="1:6" x14ac:dyDescent="0.2">
      <c r="A286" s="5">
        <f t="shared" si="4"/>
        <v>277</v>
      </c>
      <c r="B286" s="4">
        <v>0</v>
      </c>
      <c r="C286" s="4">
        <v>0</v>
      </c>
      <c r="D286" s="4">
        <v>0</v>
      </c>
      <c r="E286" s="4">
        <v>0</v>
      </c>
      <c r="F286" s="4">
        <v>0</v>
      </c>
    </row>
    <row r="287" spans="1:6" x14ac:dyDescent="0.2">
      <c r="A287" s="5">
        <f t="shared" si="4"/>
        <v>278</v>
      </c>
      <c r="B287" s="4">
        <v>0</v>
      </c>
      <c r="C287" s="4">
        <v>0</v>
      </c>
      <c r="D287" s="4">
        <v>0</v>
      </c>
      <c r="E287" s="4">
        <v>0</v>
      </c>
      <c r="F287" s="4">
        <v>0</v>
      </c>
    </row>
    <row r="288" spans="1:6" x14ac:dyDescent="0.2">
      <c r="A288" s="5">
        <f t="shared" si="4"/>
        <v>279</v>
      </c>
      <c r="B288" s="4">
        <v>0</v>
      </c>
      <c r="C288" s="4">
        <v>0</v>
      </c>
      <c r="D288" s="4">
        <v>0</v>
      </c>
      <c r="E288" s="4">
        <v>0</v>
      </c>
      <c r="F288" s="4">
        <v>0</v>
      </c>
    </row>
    <row r="289" spans="1:6" x14ac:dyDescent="0.2">
      <c r="A289" s="5">
        <f t="shared" si="4"/>
        <v>280</v>
      </c>
      <c r="B289" s="4">
        <v>0</v>
      </c>
      <c r="C289" s="4">
        <v>0</v>
      </c>
      <c r="D289" s="4">
        <v>0</v>
      </c>
      <c r="E289" s="4">
        <v>0</v>
      </c>
      <c r="F289" s="4">
        <v>0</v>
      </c>
    </row>
    <row r="290" spans="1:6" x14ac:dyDescent="0.2">
      <c r="A290" s="5">
        <f t="shared" si="4"/>
        <v>281</v>
      </c>
      <c r="B290" s="4">
        <v>0</v>
      </c>
      <c r="C290" s="4">
        <v>0</v>
      </c>
      <c r="D290" s="4">
        <v>0</v>
      </c>
      <c r="E290" s="4">
        <v>0</v>
      </c>
      <c r="F290" s="4">
        <v>0</v>
      </c>
    </row>
    <row r="291" spans="1:6" x14ac:dyDescent="0.2">
      <c r="A291" s="5">
        <f t="shared" si="4"/>
        <v>282</v>
      </c>
      <c r="B291" s="4">
        <v>0</v>
      </c>
      <c r="C291" s="4">
        <v>0</v>
      </c>
      <c r="D291" s="4">
        <v>0</v>
      </c>
      <c r="E291" s="4">
        <v>0</v>
      </c>
      <c r="F291" s="4">
        <v>0</v>
      </c>
    </row>
    <row r="292" spans="1:6" x14ac:dyDescent="0.2">
      <c r="A292" s="5">
        <f t="shared" si="4"/>
        <v>283</v>
      </c>
      <c r="B292" s="4">
        <v>0</v>
      </c>
      <c r="C292" s="4">
        <v>0</v>
      </c>
      <c r="D292" s="4">
        <v>0</v>
      </c>
      <c r="E292" s="4">
        <v>0</v>
      </c>
      <c r="F292" s="4">
        <v>0</v>
      </c>
    </row>
    <row r="293" spans="1:6" x14ac:dyDescent="0.2">
      <c r="A293" s="5">
        <f t="shared" si="4"/>
        <v>284</v>
      </c>
      <c r="B293" s="4">
        <v>0</v>
      </c>
      <c r="C293" s="4">
        <v>0</v>
      </c>
      <c r="D293" s="4">
        <v>0</v>
      </c>
      <c r="E293" s="4">
        <v>0</v>
      </c>
      <c r="F293" s="4">
        <v>0</v>
      </c>
    </row>
    <row r="294" spans="1:6" x14ac:dyDescent="0.2">
      <c r="A294" s="5">
        <f t="shared" si="4"/>
        <v>285</v>
      </c>
      <c r="B294" s="4">
        <v>0</v>
      </c>
      <c r="C294" s="4">
        <v>0</v>
      </c>
      <c r="D294" s="4">
        <v>0</v>
      </c>
      <c r="E294" s="4">
        <v>0</v>
      </c>
      <c r="F294" s="4">
        <v>0</v>
      </c>
    </row>
    <row r="295" spans="1:6" x14ac:dyDescent="0.2">
      <c r="A295" s="5">
        <f t="shared" si="4"/>
        <v>286</v>
      </c>
      <c r="B295" s="4">
        <v>0</v>
      </c>
      <c r="C295" s="4">
        <v>0</v>
      </c>
      <c r="D295" s="4">
        <v>0</v>
      </c>
      <c r="E295" s="4">
        <v>0</v>
      </c>
      <c r="F295" s="4">
        <v>0</v>
      </c>
    </row>
    <row r="296" spans="1:6" x14ac:dyDescent="0.2">
      <c r="A296" s="5">
        <f t="shared" si="4"/>
        <v>287</v>
      </c>
      <c r="B296" s="4">
        <v>0</v>
      </c>
      <c r="C296" s="4">
        <v>0</v>
      </c>
      <c r="D296" s="4">
        <v>0</v>
      </c>
      <c r="E296" s="4">
        <v>0</v>
      </c>
      <c r="F296" s="4">
        <v>0</v>
      </c>
    </row>
    <row r="297" spans="1:6" x14ac:dyDescent="0.2">
      <c r="A297" s="5">
        <f t="shared" si="4"/>
        <v>288</v>
      </c>
      <c r="B297" s="4">
        <v>0</v>
      </c>
      <c r="C297" s="4">
        <v>0</v>
      </c>
      <c r="D297" s="4">
        <v>0</v>
      </c>
      <c r="E297" s="4">
        <v>0</v>
      </c>
      <c r="F297" s="4">
        <v>0</v>
      </c>
    </row>
    <row r="298" spans="1:6" x14ac:dyDescent="0.2">
      <c r="A298" s="5">
        <f t="shared" si="4"/>
        <v>289</v>
      </c>
      <c r="B298" s="4">
        <v>0</v>
      </c>
      <c r="C298" s="4">
        <v>0</v>
      </c>
      <c r="D298" s="4">
        <v>0</v>
      </c>
      <c r="E298" s="4">
        <v>0</v>
      </c>
      <c r="F298" s="4">
        <v>0</v>
      </c>
    </row>
    <row r="299" spans="1:6" x14ac:dyDescent="0.2">
      <c r="A299" s="5">
        <f t="shared" si="4"/>
        <v>290</v>
      </c>
      <c r="B299" s="4">
        <v>0</v>
      </c>
      <c r="C299" s="4">
        <v>0</v>
      </c>
      <c r="D299" s="4">
        <v>0</v>
      </c>
      <c r="E299" s="4">
        <v>0</v>
      </c>
      <c r="F299" s="4">
        <v>0</v>
      </c>
    </row>
    <row r="300" spans="1:6" x14ac:dyDescent="0.2">
      <c r="A300" s="5">
        <f t="shared" si="4"/>
        <v>291</v>
      </c>
      <c r="B300" s="4">
        <v>0</v>
      </c>
      <c r="C300" s="4">
        <v>0</v>
      </c>
      <c r="D300" s="4">
        <v>0</v>
      </c>
      <c r="E300" s="4">
        <v>0</v>
      </c>
      <c r="F300" s="4">
        <v>0</v>
      </c>
    </row>
    <row r="301" spans="1:6" x14ac:dyDescent="0.2">
      <c r="A301" s="5">
        <f t="shared" si="4"/>
        <v>292</v>
      </c>
      <c r="B301" s="4">
        <v>0</v>
      </c>
      <c r="C301" s="4">
        <v>0</v>
      </c>
      <c r="D301" s="4">
        <v>0</v>
      </c>
      <c r="E301" s="4">
        <v>0</v>
      </c>
      <c r="F301" s="4">
        <v>0</v>
      </c>
    </row>
    <row r="302" spans="1:6" x14ac:dyDescent="0.2">
      <c r="A302" s="5">
        <f t="shared" si="4"/>
        <v>293</v>
      </c>
      <c r="B302" s="4">
        <v>0</v>
      </c>
      <c r="C302" s="4">
        <v>0</v>
      </c>
      <c r="D302" s="4">
        <v>0</v>
      </c>
      <c r="E302" s="4">
        <v>0</v>
      </c>
      <c r="F302" s="4">
        <v>0</v>
      </c>
    </row>
    <row r="303" spans="1:6" x14ac:dyDescent="0.2">
      <c r="A303" s="5">
        <f t="shared" si="4"/>
        <v>294</v>
      </c>
      <c r="B303" s="4">
        <v>0</v>
      </c>
      <c r="C303" s="4">
        <v>0</v>
      </c>
      <c r="D303" s="4">
        <v>0</v>
      </c>
      <c r="E303" s="4">
        <v>0</v>
      </c>
      <c r="F303" s="4">
        <v>0</v>
      </c>
    </row>
    <row r="304" spans="1:6" x14ac:dyDescent="0.2">
      <c r="A304" s="5">
        <f t="shared" si="4"/>
        <v>295</v>
      </c>
      <c r="B304" s="4">
        <v>0</v>
      </c>
      <c r="C304" s="4">
        <v>0</v>
      </c>
      <c r="D304" s="4">
        <v>0</v>
      </c>
      <c r="E304" s="4">
        <v>0</v>
      </c>
      <c r="F304" s="4">
        <v>0</v>
      </c>
    </row>
    <row r="305" spans="1:6" x14ac:dyDescent="0.2">
      <c r="A305" s="5">
        <f t="shared" si="4"/>
        <v>296</v>
      </c>
      <c r="B305" s="4">
        <v>0</v>
      </c>
      <c r="C305" s="4">
        <v>0</v>
      </c>
      <c r="D305" s="4">
        <v>0</v>
      </c>
      <c r="E305" s="4">
        <v>0</v>
      </c>
      <c r="F305" s="4">
        <v>0</v>
      </c>
    </row>
    <row r="306" spans="1:6" x14ac:dyDescent="0.2">
      <c r="A306" s="5">
        <f t="shared" si="4"/>
        <v>297</v>
      </c>
      <c r="B306" s="4">
        <v>0</v>
      </c>
      <c r="C306" s="4">
        <v>0</v>
      </c>
      <c r="D306" s="4">
        <v>0</v>
      </c>
      <c r="E306" s="4">
        <v>0</v>
      </c>
      <c r="F306" s="4">
        <v>0</v>
      </c>
    </row>
    <row r="307" spans="1:6" x14ac:dyDescent="0.2">
      <c r="A307" s="5">
        <f t="shared" si="4"/>
        <v>298</v>
      </c>
      <c r="B307" s="4">
        <v>0</v>
      </c>
      <c r="C307" s="4">
        <v>0</v>
      </c>
      <c r="D307" s="4">
        <v>0</v>
      </c>
      <c r="E307" s="4">
        <v>0</v>
      </c>
      <c r="F307" s="4">
        <v>0</v>
      </c>
    </row>
    <row r="308" spans="1:6" x14ac:dyDescent="0.2">
      <c r="A308" s="5">
        <f t="shared" si="4"/>
        <v>299</v>
      </c>
      <c r="B308" s="4">
        <v>0</v>
      </c>
      <c r="C308" s="4">
        <v>0</v>
      </c>
      <c r="D308" s="4">
        <v>0</v>
      </c>
      <c r="E308" s="4">
        <v>0</v>
      </c>
      <c r="F308" s="4">
        <v>0</v>
      </c>
    </row>
    <row r="309" spans="1:6" x14ac:dyDescent="0.2">
      <c r="A309" s="5">
        <f t="shared" si="4"/>
        <v>300</v>
      </c>
      <c r="B309" s="4">
        <v>0</v>
      </c>
      <c r="C309" s="4">
        <v>0</v>
      </c>
      <c r="D309" s="4">
        <v>0</v>
      </c>
      <c r="E309" s="4">
        <v>0</v>
      </c>
      <c r="F309" s="4">
        <v>0</v>
      </c>
    </row>
    <row r="310" spans="1:6" x14ac:dyDescent="0.2">
      <c r="A310" s="5">
        <f t="shared" si="4"/>
        <v>301</v>
      </c>
      <c r="B310" s="4">
        <v>0</v>
      </c>
      <c r="C310" s="4">
        <v>0</v>
      </c>
      <c r="D310" s="4">
        <v>0</v>
      </c>
      <c r="E310" s="4">
        <v>0</v>
      </c>
      <c r="F310" s="4">
        <v>0</v>
      </c>
    </row>
    <row r="311" spans="1:6" x14ac:dyDescent="0.2">
      <c r="A311" s="5">
        <f t="shared" si="4"/>
        <v>302</v>
      </c>
      <c r="B311" s="4">
        <v>0</v>
      </c>
      <c r="C311" s="4">
        <v>0</v>
      </c>
      <c r="D311" s="4">
        <v>0</v>
      </c>
      <c r="E311" s="4">
        <v>0</v>
      </c>
      <c r="F311" s="4">
        <v>0</v>
      </c>
    </row>
    <row r="312" spans="1:6" x14ac:dyDescent="0.2">
      <c r="A312" s="5">
        <f t="shared" si="4"/>
        <v>303</v>
      </c>
      <c r="B312" s="4">
        <v>0</v>
      </c>
      <c r="C312" s="4">
        <v>0</v>
      </c>
      <c r="D312" s="4">
        <v>0</v>
      </c>
      <c r="E312" s="4">
        <v>0</v>
      </c>
      <c r="F312" s="4">
        <v>0</v>
      </c>
    </row>
    <row r="313" spans="1:6" x14ac:dyDescent="0.2">
      <c r="A313" s="5">
        <f t="shared" si="4"/>
        <v>304</v>
      </c>
      <c r="B313" s="4">
        <v>0</v>
      </c>
      <c r="C313" s="4">
        <v>0</v>
      </c>
      <c r="D313" s="4">
        <v>0</v>
      </c>
      <c r="E313" s="4">
        <v>0</v>
      </c>
      <c r="F313" s="4">
        <v>0</v>
      </c>
    </row>
    <row r="314" spans="1:6" x14ac:dyDescent="0.2">
      <c r="A314" s="5">
        <f t="shared" si="4"/>
        <v>305</v>
      </c>
      <c r="B314" s="4">
        <v>0</v>
      </c>
      <c r="C314" s="4">
        <v>0</v>
      </c>
      <c r="D314" s="4">
        <v>0</v>
      </c>
      <c r="E314" s="4">
        <v>0</v>
      </c>
      <c r="F314" s="4">
        <v>0</v>
      </c>
    </row>
    <row r="315" spans="1:6" x14ac:dyDescent="0.2">
      <c r="A315" s="5">
        <f t="shared" si="4"/>
        <v>306</v>
      </c>
      <c r="B315" s="4">
        <v>0</v>
      </c>
      <c r="C315" s="4">
        <v>0</v>
      </c>
      <c r="D315" s="4">
        <v>0</v>
      </c>
      <c r="E315" s="4">
        <v>0</v>
      </c>
      <c r="F315" s="4">
        <v>0</v>
      </c>
    </row>
    <row r="316" spans="1:6" x14ac:dyDescent="0.2">
      <c r="A316" s="5">
        <f t="shared" si="4"/>
        <v>307</v>
      </c>
      <c r="B316" s="4">
        <v>0</v>
      </c>
      <c r="C316" s="4">
        <v>0</v>
      </c>
      <c r="D316" s="4">
        <v>0</v>
      </c>
      <c r="E316" s="4">
        <v>0</v>
      </c>
      <c r="F316" s="4">
        <v>0</v>
      </c>
    </row>
    <row r="317" spans="1:6" x14ac:dyDescent="0.2">
      <c r="A317" s="5">
        <f t="shared" si="4"/>
        <v>308</v>
      </c>
      <c r="B317" s="4">
        <v>0</v>
      </c>
      <c r="C317" s="4">
        <v>0</v>
      </c>
      <c r="D317" s="4">
        <v>0</v>
      </c>
      <c r="E317" s="4">
        <v>0</v>
      </c>
      <c r="F317" s="4">
        <v>0</v>
      </c>
    </row>
    <row r="318" spans="1:6" x14ac:dyDescent="0.2">
      <c r="A318" s="5">
        <f t="shared" si="4"/>
        <v>309</v>
      </c>
      <c r="B318" s="4">
        <v>0</v>
      </c>
      <c r="C318" s="4">
        <v>0</v>
      </c>
      <c r="D318" s="4">
        <v>0</v>
      </c>
      <c r="E318" s="4">
        <v>0</v>
      </c>
      <c r="F318" s="4">
        <v>0</v>
      </c>
    </row>
    <row r="319" spans="1:6" x14ac:dyDescent="0.2">
      <c r="A319" s="5">
        <f t="shared" si="4"/>
        <v>310</v>
      </c>
      <c r="B319" s="4">
        <v>0</v>
      </c>
      <c r="C319" s="4">
        <v>0</v>
      </c>
      <c r="D319" s="4">
        <v>0</v>
      </c>
      <c r="E319" s="4">
        <v>0</v>
      </c>
      <c r="F319" s="4">
        <v>0</v>
      </c>
    </row>
    <row r="320" spans="1:6" x14ac:dyDescent="0.2">
      <c r="A320" s="5">
        <f t="shared" si="4"/>
        <v>311</v>
      </c>
      <c r="B320" s="4">
        <v>0</v>
      </c>
      <c r="C320" s="4">
        <v>0</v>
      </c>
      <c r="D320" s="4">
        <v>0</v>
      </c>
      <c r="E320" s="4">
        <v>0</v>
      </c>
      <c r="F320" s="4">
        <v>0</v>
      </c>
    </row>
    <row r="321" spans="1:6" x14ac:dyDescent="0.2">
      <c r="A321" s="5">
        <f t="shared" si="4"/>
        <v>312</v>
      </c>
      <c r="B321" s="4">
        <v>0</v>
      </c>
      <c r="C321" s="4">
        <v>0</v>
      </c>
      <c r="D321" s="4">
        <v>0</v>
      </c>
      <c r="E321" s="4">
        <v>0</v>
      </c>
      <c r="F321" s="4">
        <v>0</v>
      </c>
    </row>
    <row r="322" spans="1:6" x14ac:dyDescent="0.2">
      <c r="A322" s="5">
        <f t="shared" si="4"/>
        <v>313</v>
      </c>
      <c r="B322" s="4">
        <v>0</v>
      </c>
      <c r="C322" s="4">
        <v>0</v>
      </c>
      <c r="D322" s="4">
        <v>0</v>
      </c>
      <c r="E322" s="4">
        <v>0</v>
      </c>
      <c r="F322" s="4">
        <v>0</v>
      </c>
    </row>
    <row r="323" spans="1:6" x14ac:dyDescent="0.2">
      <c r="A323" s="5">
        <f t="shared" si="4"/>
        <v>314</v>
      </c>
      <c r="B323" s="4">
        <v>0</v>
      </c>
      <c r="C323" s="4">
        <v>0</v>
      </c>
      <c r="D323" s="4">
        <v>0</v>
      </c>
      <c r="E323" s="4">
        <v>0</v>
      </c>
      <c r="F323" s="4">
        <v>0</v>
      </c>
    </row>
    <row r="324" spans="1:6" x14ac:dyDescent="0.2">
      <c r="A324" s="5">
        <f t="shared" si="4"/>
        <v>315</v>
      </c>
      <c r="B324" s="4">
        <v>0</v>
      </c>
      <c r="C324" s="4">
        <v>0</v>
      </c>
      <c r="D324" s="4">
        <v>0</v>
      </c>
      <c r="E324" s="4">
        <v>0</v>
      </c>
      <c r="F324" s="4">
        <v>0</v>
      </c>
    </row>
    <row r="325" spans="1:6" x14ac:dyDescent="0.2">
      <c r="A325" s="5">
        <f t="shared" si="4"/>
        <v>316</v>
      </c>
      <c r="B325" s="4">
        <v>0</v>
      </c>
      <c r="C325" s="4">
        <v>0</v>
      </c>
      <c r="D325" s="4">
        <v>0</v>
      </c>
      <c r="E325" s="4">
        <v>0</v>
      </c>
      <c r="F325" s="4">
        <v>0</v>
      </c>
    </row>
    <row r="326" spans="1:6" x14ac:dyDescent="0.2">
      <c r="A326" s="5">
        <f t="shared" si="4"/>
        <v>317</v>
      </c>
      <c r="B326" s="4">
        <v>0</v>
      </c>
      <c r="C326" s="4">
        <v>0</v>
      </c>
      <c r="D326" s="4">
        <v>0</v>
      </c>
      <c r="E326" s="4">
        <v>0</v>
      </c>
      <c r="F326" s="4">
        <v>0</v>
      </c>
    </row>
    <row r="327" spans="1:6" x14ac:dyDescent="0.2">
      <c r="A327" s="5">
        <f t="shared" si="4"/>
        <v>318</v>
      </c>
      <c r="B327" s="4">
        <v>0</v>
      </c>
      <c r="C327" s="4">
        <v>0</v>
      </c>
      <c r="D327" s="4">
        <v>0</v>
      </c>
      <c r="E327" s="4">
        <v>0</v>
      </c>
      <c r="F327" s="4">
        <v>0</v>
      </c>
    </row>
    <row r="328" spans="1:6" x14ac:dyDescent="0.2">
      <c r="A328" s="5">
        <f t="shared" si="4"/>
        <v>319</v>
      </c>
      <c r="B328" s="4">
        <v>0</v>
      </c>
      <c r="C328" s="4">
        <v>0</v>
      </c>
      <c r="D328" s="4">
        <v>0</v>
      </c>
      <c r="E328" s="4">
        <v>0</v>
      </c>
      <c r="F328" s="4">
        <v>0</v>
      </c>
    </row>
    <row r="329" spans="1:6" x14ac:dyDescent="0.2">
      <c r="A329" s="5">
        <f t="shared" si="4"/>
        <v>320</v>
      </c>
      <c r="B329" s="4">
        <v>0</v>
      </c>
      <c r="C329" s="4">
        <v>0</v>
      </c>
      <c r="D329" s="4">
        <v>0</v>
      </c>
      <c r="E329" s="4">
        <v>0</v>
      </c>
      <c r="F329" s="4">
        <v>0</v>
      </c>
    </row>
    <row r="330" spans="1:6" x14ac:dyDescent="0.2">
      <c r="A330" s="5">
        <f t="shared" si="4"/>
        <v>321</v>
      </c>
      <c r="B330" s="4">
        <v>0</v>
      </c>
      <c r="C330" s="4">
        <v>0</v>
      </c>
      <c r="D330" s="4">
        <v>0</v>
      </c>
      <c r="E330" s="4">
        <v>0</v>
      </c>
      <c r="F330" s="4">
        <v>0</v>
      </c>
    </row>
    <row r="331" spans="1:6" x14ac:dyDescent="0.2">
      <c r="A331" s="5">
        <f t="shared" si="4"/>
        <v>322</v>
      </c>
      <c r="B331" s="4">
        <v>0</v>
      </c>
      <c r="C331" s="4">
        <v>0</v>
      </c>
      <c r="D331" s="4">
        <v>0</v>
      </c>
      <c r="E331" s="4">
        <v>0</v>
      </c>
      <c r="F331" s="4">
        <v>0</v>
      </c>
    </row>
    <row r="332" spans="1:6" x14ac:dyDescent="0.2">
      <c r="A332" s="5">
        <f t="shared" ref="A332:A369" si="5">A331+1</f>
        <v>323</v>
      </c>
      <c r="B332" s="4">
        <v>0</v>
      </c>
      <c r="C332" s="4">
        <v>0</v>
      </c>
      <c r="D332" s="4">
        <v>0</v>
      </c>
      <c r="E332" s="4">
        <v>0</v>
      </c>
      <c r="F332" s="4">
        <v>0</v>
      </c>
    </row>
    <row r="333" spans="1:6" x14ac:dyDescent="0.2">
      <c r="A333" s="5">
        <f t="shared" si="5"/>
        <v>324</v>
      </c>
      <c r="B333" s="4">
        <v>0</v>
      </c>
      <c r="C333" s="4">
        <v>0</v>
      </c>
      <c r="D333" s="4">
        <v>0</v>
      </c>
      <c r="E333" s="4">
        <v>0</v>
      </c>
      <c r="F333" s="4">
        <v>0</v>
      </c>
    </row>
    <row r="334" spans="1:6" x14ac:dyDescent="0.2">
      <c r="A334" s="5">
        <f t="shared" si="5"/>
        <v>325</v>
      </c>
      <c r="B334" s="4">
        <v>0</v>
      </c>
      <c r="C334" s="4">
        <v>0</v>
      </c>
      <c r="D334" s="4">
        <v>0</v>
      </c>
      <c r="E334" s="4">
        <v>0</v>
      </c>
      <c r="F334" s="4">
        <v>0</v>
      </c>
    </row>
    <row r="335" spans="1:6" x14ac:dyDescent="0.2">
      <c r="A335" s="5">
        <f t="shared" si="5"/>
        <v>326</v>
      </c>
      <c r="B335" s="4">
        <v>0</v>
      </c>
      <c r="C335" s="4">
        <v>0</v>
      </c>
      <c r="D335" s="4">
        <v>0</v>
      </c>
      <c r="E335" s="4">
        <v>0</v>
      </c>
      <c r="F335" s="4">
        <v>0</v>
      </c>
    </row>
    <row r="336" spans="1:6" x14ac:dyDescent="0.2">
      <c r="A336" s="5">
        <f t="shared" si="5"/>
        <v>327</v>
      </c>
      <c r="B336" s="4">
        <v>0</v>
      </c>
      <c r="C336" s="4">
        <v>0</v>
      </c>
      <c r="D336" s="4">
        <v>0</v>
      </c>
      <c r="E336" s="4">
        <v>0</v>
      </c>
      <c r="F336" s="4">
        <v>0</v>
      </c>
    </row>
    <row r="337" spans="1:6" x14ac:dyDescent="0.2">
      <c r="A337" s="5">
        <f t="shared" si="5"/>
        <v>328</v>
      </c>
      <c r="B337" s="4">
        <v>0</v>
      </c>
      <c r="C337" s="4">
        <v>0</v>
      </c>
      <c r="D337" s="4">
        <v>0</v>
      </c>
      <c r="E337" s="4">
        <v>0</v>
      </c>
      <c r="F337" s="4">
        <v>0</v>
      </c>
    </row>
    <row r="338" spans="1:6" x14ac:dyDescent="0.2">
      <c r="A338" s="5">
        <f t="shared" si="5"/>
        <v>329</v>
      </c>
      <c r="B338" s="4">
        <v>0</v>
      </c>
      <c r="C338" s="4">
        <v>0</v>
      </c>
      <c r="D338" s="4">
        <v>0</v>
      </c>
      <c r="E338" s="4">
        <v>0</v>
      </c>
      <c r="F338" s="4">
        <v>0</v>
      </c>
    </row>
    <row r="339" spans="1:6" x14ac:dyDescent="0.2">
      <c r="A339" s="5">
        <f t="shared" si="5"/>
        <v>330</v>
      </c>
      <c r="B339" s="4">
        <v>0</v>
      </c>
      <c r="C339" s="4">
        <v>0</v>
      </c>
      <c r="D339" s="4">
        <v>0</v>
      </c>
      <c r="E339" s="4">
        <v>0</v>
      </c>
      <c r="F339" s="4">
        <v>0</v>
      </c>
    </row>
    <row r="340" spans="1:6" x14ac:dyDescent="0.2">
      <c r="A340" s="5">
        <f t="shared" si="5"/>
        <v>331</v>
      </c>
      <c r="B340" s="4">
        <v>0</v>
      </c>
      <c r="C340" s="4">
        <v>0</v>
      </c>
      <c r="D340" s="4">
        <v>0</v>
      </c>
      <c r="E340" s="4">
        <v>0</v>
      </c>
      <c r="F340" s="4">
        <v>0</v>
      </c>
    </row>
    <row r="341" spans="1:6" x14ac:dyDescent="0.2">
      <c r="A341" s="5">
        <f t="shared" si="5"/>
        <v>332</v>
      </c>
      <c r="B341" s="4">
        <v>0</v>
      </c>
      <c r="C341" s="4">
        <v>0</v>
      </c>
      <c r="D341" s="4">
        <v>0</v>
      </c>
      <c r="E341" s="4">
        <v>0</v>
      </c>
      <c r="F341" s="4">
        <v>0</v>
      </c>
    </row>
    <row r="342" spans="1:6" x14ac:dyDescent="0.2">
      <c r="A342" s="5">
        <f t="shared" si="5"/>
        <v>333</v>
      </c>
      <c r="B342" s="4">
        <v>0</v>
      </c>
      <c r="C342" s="4">
        <v>0</v>
      </c>
      <c r="D342" s="4">
        <v>0</v>
      </c>
      <c r="E342" s="4">
        <v>0</v>
      </c>
      <c r="F342" s="4">
        <v>0</v>
      </c>
    </row>
    <row r="343" spans="1:6" x14ac:dyDescent="0.2">
      <c r="A343" s="5">
        <f t="shared" si="5"/>
        <v>334</v>
      </c>
      <c r="B343" s="4">
        <v>0</v>
      </c>
      <c r="C343" s="4">
        <v>0</v>
      </c>
      <c r="D343" s="4">
        <v>0</v>
      </c>
      <c r="E343" s="4">
        <v>0</v>
      </c>
      <c r="F343" s="4">
        <v>0</v>
      </c>
    </row>
    <row r="344" spans="1:6" x14ac:dyDescent="0.2">
      <c r="A344" s="5">
        <f t="shared" si="5"/>
        <v>335</v>
      </c>
      <c r="B344" s="4">
        <v>0</v>
      </c>
      <c r="C344" s="4">
        <v>0</v>
      </c>
      <c r="D344" s="4">
        <v>0</v>
      </c>
      <c r="E344" s="4">
        <v>0</v>
      </c>
      <c r="F344" s="4">
        <v>0</v>
      </c>
    </row>
    <row r="345" spans="1:6" x14ac:dyDescent="0.2">
      <c r="A345" s="5">
        <f t="shared" si="5"/>
        <v>336</v>
      </c>
      <c r="B345" s="4">
        <v>0</v>
      </c>
      <c r="C345" s="4">
        <v>0</v>
      </c>
      <c r="D345" s="4">
        <v>0</v>
      </c>
      <c r="E345" s="4">
        <v>0</v>
      </c>
      <c r="F345" s="4">
        <v>0</v>
      </c>
    </row>
    <row r="346" spans="1:6" x14ac:dyDescent="0.2">
      <c r="A346" s="5">
        <f t="shared" si="5"/>
        <v>337</v>
      </c>
      <c r="B346" s="4">
        <v>0</v>
      </c>
      <c r="C346" s="4">
        <v>0</v>
      </c>
      <c r="D346" s="4">
        <v>0</v>
      </c>
      <c r="E346" s="4">
        <v>0</v>
      </c>
      <c r="F346" s="4">
        <v>0</v>
      </c>
    </row>
    <row r="347" spans="1:6" x14ac:dyDescent="0.2">
      <c r="A347" s="5">
        <f t="shared" si="5"/>
        <v>338</v>
      </c>
      <c r="B347" s="4">
        <v>0</v>
      </c>
      <c r="C347" s="4">
        <v>0</v>
      </c>
      <c r="D347" s="4">
        <v>0</v>
      </c>
      <c r="E347" s="4">
        <v>0</v>
      </c>
      <c r="F347" s="4">
        <v>0</v>
      </c>
    </row>
    <row r="348" spans="1:6" x14ac:dyDescent="0.2">
      <c r="A348" s="5">
        <f t="shared" si="5"/>
        <v>339</v>
      </c>
      <c r="B348" s="4">
        <v>0</v>
      </c>
      <c r="C348" s="4">
        <v>0</v>
      </c>
      <c r="D348" s="4">
        <v>0</v>
      </c>
      <c r="E348" s="4">
        <v>0</v>
      </c>
      <c r="F348" s="4">
        <v>0</v>
      </c>
    </row>
    <row r="349" spans="1:6" x14ac:dyDescent="0.2">
      <c r="A349" s="5">
        <f t="shared" si="5"/>
        <v>340</v>
      </c>
      <c r="B349" s="4">
        <v>0</v>
      </c>
      <c r="C349" s="4">
        <v>0</v>
      </c>
      <c r="D349" s="4">
        <v>0</v>
      </c>
      <c r="E349" s="4">
        <v>0</v>
      </c>
      <c r="F349" s="4">
        <v>0</v>
      </c>
    </row>
    <row r="350" spans="1:6" x14ac:dyDescent="0.2">
      <c r="A350" s="5">
        <f t="shared" si="5"/>
        <v>341</v>
      </c>
      <c r="B350" s="4">
        <v>0</v>
      </c>
      <c r="C350" s="4">
        <v>0</v>
      </c>
      <c r="D350" s="4">
        <v>0</v>
      </c>
      <c r="E350" s="4">
        <v>0</v>
      </c>
      <c r="F350" s="4">
        <v>0</v>
      </c>
    </row>
    <row r="351" spans="1:6" x14ac:dyDescent="0.2">
      <c r="A351" s="5">
        <f t="shared" si="5"/>
        <v>342</v>
      </c>
      <c r="B351" s="4">
        <v>0</v>
      </c>
      <c r="C351" s="4">
        <v>0</v>
      </c>
      <c r="D351" s="4">
        <v>0</v>
      </c>
      <c r="E351" s="4">
        <v>0</v>
      </c>
      <c r="F351" s="4">
        <v>0</v>
      </c>
    </row>
    <row r="352" spans="1:6" x14ac:dyDescent="0.2">
      <c r="A352" s="5">
        <f t="shared" si="5"/>
        <v>343</v>
      </c>
      <c r="B352" s="4">
        <v>0</v>
      </c>
      <c r="C352" s="4">
        <v>0</v>
      </c>
      <c r="D352" s="4">
        <v>0</v>
      </c>
      <c r="E352" s="4">
        <v>0</v>
      </c>
      <c r="F352" s="4">
        <v>0</v>
      </c>
    </row>
    <row r="353" spans="1:6" x14ac:dyDescent="0.2">
      <c r="A353" s="5">
        <f t="shared" si="5"/>
        <v>344</v>
      </c>
      <c r="B353" s="4">
        <v>0</v>
      </c>
      <c r="C353" s="4">
        <v>0</v>
      </c>
      <c r="D353" s="4">
        <v>0</v>
      </c>
      <c r="E353" s="4">
        <v>0</v>
      </c>
      <c r="F353" s="4">
        <v>0</v>
      </c>
    </row>
    <row r="354" spans="1:6" x14ac:dyDescent="0.2">
      <c r="A354" s="5">
        <f t="shared" si="5"/>
        <v>345</v>
      </c>
      <c r="B354" s="4">
        <v>0</v>
      </c>
      <c r="C354" s="4">
        <v>0</v>
      </c>
      <c r="D354" s="4">
        <v>0</v>
      </c>
      <c r="E354" s="4">
        <v>0</v>
      </c>
      <c r="F354" s="4">
        <v>0</v>
      </c>
    </row>
    <row r="355" spans="1:6" x14ac:dyDescent="0.2">
      <c r="A355" s="5">
        <f t="shared" si="5"/>
        <v>346</v>
      </c>
      <c r="B355" s="4">
        <v>0</v>
      </c>
      <c r="C355" s="4">
        <v>0</v>
      </c>
      <c r="D355" s="4">
        <v>0</v>
      </c>
      <c r="E355" s="4">
        <v>0</v>
      </c>
      <c r="F355" s="4">
        <v>0</v>
      </c>
    </row>
    <row r="356" spans="1:6" x14ac:dyDescent="0.2">
      <c r="A356" s="5">
        <f t="shared" si="5"/>
        <v>347</v>
      </c>
      <c r="B356" s="4">
        <v>0</v>
      </c>
      <c r="C356" s="4">
        <v>0</v>
      </c>
      <c r="D356" s="4">
        <v>0</v>
      </c>
      <c r="E356" s="4">
        <v>0</v>
      </c>
      <c r="F356" s="4">
        <v>0</v>
      </c>
    </row>
    <row r="357" spans="1:6" x14ac:dyDescent="0.2">
      <c r="A357" s="5">
        <f t="shared" si="5"/>
        <v>348</v>
      </c>
      <c r="B357" s="4">
        <v>0</v>
      </c>
      <c r="C357" s="4">
        <v>0</v>
      </c>
      <c r="D357" s="4">
        <v>0</v>
      </c>
      <c r="E357" s="4">
        <v>0</v>
      </c>
      <c r="F357" s="4">
        <v>0</v>
      </c>
    </row>
    <row r="358" spans="1:6" x14ac:dyDescent="0.2">
      <c r="A358" s="5">
        <f t="shared" si="5"/>
        <v>349</v>
      </c>
      <c r="B358" s="4">
        <v>0</v>
      </c>
      <c r="C358" s="4">
        <v>0</v>
      </c>
      <c r="D358" s="4">
        <v>0</v>
      </c>
      <c r="E358" s="4">
        <v>0</v>
      </c>
      <c r="F358" s="4">
        <v>0</v>
      </c>
    </row>
    <row r="359" spans="1:6" x14ac:dyDescent="0.2">
      <c r="A359" s="5">
        <f t="shared" si="5"/>
        <v>350</v>
      </c>
      <c r="B359" s="4">
        <v>0</v>
      </c>
      <c r="C359" s="4">
        <v>0</v>
      </c>
      <c r="D359" s="4">
        <v>0</v>
      </c>
      <c r="E359" s="4">
        <v>0</v>
      </c>
      <c r="F359" s="4">
        <v>0</v>
      </c>
    </row>
    <row r="360" spans="1:6" x14ac:dyDescent="0.2">
      <c r="A360" s="5">
        <f t="shared" si="5"/>
        <v>351</v>
      </c>
      <c r="B360" s="4">
        <v>0</v>
      </c>
      <c r="C360" s="4">
        <v>0</v>
      </c>
      <c r="D360" s="4">
        <v>0</v>
      </c>
      <c r="E360" s="4">
        <v>0</v>
      </c>
      <c r="F360" s="4">
        <v>0</v>
      </c>
    </row>
    <row r="361" spans="1:6" x14ac:dyDescent="0.2">
      <c r="A361" s="5">
        <f t="shared" si="5"/>
        <v>352</v>
      </c>
      <c r="B361" s="4">
        <v>0</v>
      </c>
      <c r="C361" s="4">
        <v>0</v>
      </c>
      <c r="D361" s="4">
        <v>0</v>
      </c>
      <c r="E361" s="4">
        <v>0</v>
      </c>
      <c r="F361" s="4">
        <v>0</v>
      </c>
    </row>
    <row r="362" spans="1:6" x14ac:dyDescent="0.2">
      <c r="A362" s="5">
        <f t="shared" si="5"/>
        <v>353</v>
      </c>
      <c r="B362" s="4">
        <v>0</v>
      </c>
      <c r="C362" s="4">
        <v>0</v>
      </c>
      <c r="D362" s="4">
        <v>0</v>
      </c>
      <c r="E362" s="4">
        <v>0</v>
      </c>
      <c r="F362" s="4">
        <v>0</v>
      </c>
    </row>
    <row r="363" spans="1:6" x14ac:dyDescent="0.2">
      <c r="A363" s="5">
        <f t="shared" si="5"/>
        <v>354</v>
      </c>
      <c r="B363" s="4">
        <v>0</v>
      </c>
      <c r="C363" s="4">
        <v>0</v>
      </c>
      <c r="D363" s="4">
        <v>0</v>
      </c>
      <c r="E363" s="4">
        <v>0</v>
      </c>
      <c r="F363" s="4">
        <v>0</v>
      </c>
    </row>
    <row r="364" spans="1:6" x14ac:dyDescent="0.2">
      <c r="A364" s="5">
        <f t="shared" si="5"/>
        <v>355</v>
      </c>
      <c r="B364" s="4">
        <v>0</v>
      </c>
      <c r="C364" s="4">
        <v>0</v>
      </c>
      <c r="D364" s="4">
        <v>0</v>
      </c>
      <c r="E364" s="4">
        <v>0</v>
      </c>
      <c r="F364" s="4">
        <v>0</v>
      </c>
    </row>
    <row r="365" spans="1:6" x14ac:dyDescent="0.2">
      <c r="A365" s="5">
        <f t="shared" si="5"/>
        <v>356</v>
      </c>
      <c r="B365" s="4">
        <v>0</v>
      </c>
      <c r="C365" s="4">
        <v>0</v>
      </c>
      <c r="D365" s="4">
        <v>0</v>
      </c>
      <c r="E365" s="4">
        <v>0</v>
      </c>
      <c r="F365" s="4">
        <v>0</v>
      </c>
    </row>
    <row r="366" spans="1:6" x14ac:dyDescent="0.2">
      <c r="A366" s="5">
        <f t="shared" si="5"/>
        <v>357</v>
      </c>
      <c r="B366" s="4">
        <v>0</v>
      </c>
      <c r="C366" s="4">
        <v>0</v>
      </c>
      <c r="D366" s="4">
        <v>0</v>
      </c>
      <c r="E366" s="4">
        <v>0</v>
      </c>
      <c r="F366" s="4">
        <v>0</v>
      </c>
    </row>
    <row r="367" spans="1:6" x14ac:dyDescent="0.2">
      <c r="A367" s="5">
        <f t="shared" si="5"/>
        <v>358</v>
      </c>
      <c r="B367" s="4">
        <v>0</v>
      </c>
      <c r="C367" s="4">
        <v>0</v>
      </c>
      <c r="D367" s="4">
        <v>0</v>
      </c>
      <c r="E367" s="4">
        <v>0</v>
      </c>
      <c r="F367" s="4">
        <v>0</v>
      </c>
    </row>
    <row r="368" spans="1:6" x14ac:dyDescent="0.2">
      <c r="A368" s="5">
        <f t="shared" si="5"/>
        <v>359</v>
      </c>
      <c r="B368" s="4">
        <v>0</v>
      </c>
      <c r="C368" s="4">
        <v>0</v>
      </c>
      <c r="D368" s="4">
        <v>0</v>
      </c>
      <c r="E368" s="4">
        <v>0</v>
      </c>
      <c r="F368" s="4">
        <v>0</v>
      </c>
    </row>
    <row r="369" spans="1:6" x14ac:dyDescent="0.2">
      <c r="A369" s="5">
        <f t="shared" si="5"/>
        <v>360</v>
      </c>
      <c r="B369" s="4">
        <v>0</v>
      </c>
      <c r="C369" s="4">
        <v>0</v>
      </c>
      <c r="D369" s="4">
        <v>0</v>
      </c>
      <c r="E369" s="4">
        <v>0</v>
      </c>
      <c r="F369" s="4">
        <v>0</v>
      </c>
    </row>
  </sheetData>
  <dataValidations count="1">
    <dataValidation type="whole" allowBlank="1" showInputMessage="1" showErrorMessage="1" sqref="E6:F6" xr:uid="{CBB7875B-9B6B-4C10-9A9A-9E53F14AE429}">
      <formula1>1</formula1>
      <formula2>360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lcRisk">
                <anchor moveWithCells="1" sizeWithCells="1">
                  <from>
                    <xdr:col>0</xdr:col>
                    <xdr:colOff>466725</xdr:colOff>
                    <xdr:row>0</xdr:row>
                    <xdr:rowOff>66675</xdr:rowOff>
                  </from>
                  <to>
                    <xdr:col>4</xdr:col>
                    <xdr:colOff>276225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ing_outputArea">
                <anchor moveWithCells="1" sizeWithCells="1">
                  <from>
                    <xdr:col>4</xdr:col>
                    <xdr:colOff>428625</xdr:colOff>
                    <xdr:row>0</xdr:row>
                    <xdr:rowOff>66675</xdr:rowOff>
                  </from>
                  <to>
                    <xdr:col>6</xdr:col>
                    <xdr:colOff>933450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0AB16BA-B2D9-4904-8FC5-55DFBFF2F01B}">
          <x14:formula1>
            <xm:f>Choices!$A$1:$A$2</xm:f>
          </x14:formula1>
          <xm:sqref>G6</xm:sqref>
        </x14:dataValidation>
        <x14:dataValidation type="list" allowBlank="1" showInputMessage="1" showErrorMessage="1" xr:uid="{578CDAA2-A5C9-4DA1-99BE-B074B7068A2C}">
          <x14:formula1>
            <xm:f>Choices!$B$1:$B$2</xm:f>
          </x14:formula1>
          <xm:sqref>H6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E5F5E-9D45-4C09-8064-788581E6F180}">
  <sheetPr codeName="Sheet4"/>
  <dimension ref="A1:E361"/>
  <sheetViews>
    <sheetView showGridLines="0" workbookViewId="0">
      <selection activeCell="G8" sqref="G8"/>
    </sheetView>
  </sheetViews>
  <sheetFormatPr defaultRowHeight="12.75" x14ac:dyDescent="0.2"/>
  <cols>
    <col min="1" max="1" width="19.5" bestFit="1" customWidth="1"/>
    <col min="5" max="5" width="10.5" bestFit="1" customWidth="1"/>
  </cols>
  <sheetData>
    <row r="1" spans="1:5" x14ac:dyDescent="0.2">
      <c r="A1" s="12" t="s">
        <v>14</v>
      </c>
      <c r="B1" s="12" t="s">
        <v>13</v>
      </c>
    </row>
    <row r="2" spans="1:5" x14ac:dyDescent="0.2">
      <c r="A2" s="34">
        <v>1.218E-2</v>
      </c>
      <c r="B2" s="8">
        <f>1/12</f>
        <v>8.3333333333333329E-2</v>
      </c>
      <c r="C2" s="2"/>
      <c r="D2" s="32"/>
      <c r="E2" s="33"/>
    </row>
    <row r="3" spans="1:5" x14ac:dyDescent="0.2">
      <c r="A3" s="34">
        <v>1.1809999999999998E-2</v>
      </c>
      <c r="B3" s="5">
        <f>B2+1/12</f>
        <v>0.16666666666666666</v>
      </c>
      <c r="D3" s="32"/>
      <c r="E3" s="33"/>
    </row>
    <row r="4" spans="1:5" x14ac:dyDescent="0.2">
      <c r="A4" s="34">
        <v>1.1309999999999997E-2</v>
      </c>
      <c r="B4" s="5">
        <f t="shared" ref="B4:B67" si="0">B3+1/12</f>
        <v>0.25</v>
      </c>
      <c r="D4" s="32"/>
      <c r="E4" s="33"/>
    </row>
    <row r="5" spans="1:5" x14ac:dyDescent="0.2">
      <c r="A5" s="34">
        <v>1.099E-2</v>
      </c>
      <c r="B5" s="5">
        <f t="shared" si="0"/>
        <v>0.33333333333333331</v>
      </c>
      <c r="D5" s="32"/>
      <c r="E5" s="33"/>
    </row>
    <row r="6" spans="1:5" x14ac:dyDescent="0.2">
      <c r="A6" s="34">
        <v>1.082E-2</v>
      </c>
      <c r="B6" s="5">
        <f t="shared" si="0"/>
        <v>0.41666666666666663</v>
      </c>
      <c r="D6" s="32"/>
      <c r="E6" s="33"/>
    </row>
    <row r="7" spans="1:5" x14ac:dyDescent="0.2">
      <c r="A7" s="34">
        <v>1.03E-2</v>
      </c>
      <c r="B7" s="5">
        <f t="shared" si="0"/>
        <v>0.49999999999999994</v>
      </c>
      <c r="D7" s="32"/>
      <c r="E7" s="33"/>
    </row>
    <row r="8" spans="1:5" x14ac:dyDescent="0.2">
      <c r="A8" s="34">
        <v>9.4300000000000009E-3</v>
      </c>
      <c r="B8" s="5">
        <f t="shared" si="0"/>
        <v>0.58333333333333326</v>
      </c>
      <c r="D8" s="32"/>
      <c r="E8" s="33"/>
    </row>
    <row r="9" spans="1:5" x14ac:dyDescent="0.2">
      <c r="A9" s="34">
        <v>8.2199999999999981E-3</v>
      </c>
      <c r="B9" s="5">
        <f t="shared" si="0"/>
        <v>0.66666666666666663</v>
      </c>
      <c r="D9" s="32"/>
      <c r="E9" s="33"/>
    </row>
    <row r="10" spans="1:5" x14ac:dyDescent="0.2">
      <c r="A10" s="34">
        <v>7.2200000000000007E-3</v>
      </c>
      <c r="B10" s="5">
        <f t="shared" si="0"/>
        <v>0.75</v>
      </c>
      <c r="D10" s="32"/>
      <c r="E10" s="33"/>
    </row>
    <row r="11" spans="1:5" x14ac:dyDescent="0.2">
      <c r="A11" s="34">
        <v>6.4199999999999986E-3</v>
      </c>
      <c r="B11" s="5">
        <f t="shared" si="0"/>
        <v>0.83333333333333337</v>
      </c>
      <c r="D11" s="32"/>
      <c r="E11" s="33"/>
    </row>
    <row r="12" spans="1:5" x14ac:dyDescent="0.2">
      <c r="A12" s="34">
        <v>5.8199999999999988E-3</v>
      </c>
      <c r="B12" s="5">
        <f t="shared" si="0"/>
        <v>0.91666666666666674</v>
      </c>
      <c r="D12" s="32"/>
      <c r="E12" s="33"/>
    </row>
    <row r="13" spans="1:5" x14ac:dyDescent="0.2">
      <c r="A13" s="34">
        <v>5.4400000000000004E-3</v>
      </c>
      <c r="B13" s="5">
        <f t="shared" si="0"/>
        <v>1</v>
      </c>
      <c r="D13" s="32"/>
      <c r="E13" s="33"/>
    </row>
    <row r="14" spans="1:5" x14ac:dyDescent="0.2">
      <c r="A14" s="34">
        <v>5.2500000000000012E-3</v>
      </c>
      <c r="B14" s="5">
        <f t="shared" si="0"/>
        <v>1.0833333333333333</v>
      </c>
      <c r="D14" s="32"/>
      <c r="E14" s="33"/>
    </row>
    <row r="15" spans="1:5" x14ac:dyDescent="0.2">
      <c r="A15" s="34">
        <v>5.2700000000000004E-3</v>
      </c>
      <c r="B15" s="5">
        <f t="shared" si="0"/>
        <v>1.1666666666666665</v>
      </c>
      <c r="D15" s="32"/>
      <c r="E15" s="33"/>
    </row>
    <row r="16" spans="1:5" x14ac:dyDescent="0.2">
      <c r="A16" s="34">
        <v>5.3600000000000002E-3</v>
      </c>
      <c r="B16" s="5">
        <f t="shared" si="0"/>
        <v>1.2499999999999998</v>
      </c>
      <c r="D16" s="32"/>
      <c r="E16" s="33"/>
    </row>
    <row r="17" spans="1:5" x14ac:dyDescent="0.2">
      <c r="A17" s="34">
        <v>5.5200000000000006E-3</v>
      </c>
      <c r="B17" s="5">
        <f t="shared" si="0"/>
        <v>1.333333333333333</v>
      </c>
      <c r="D17" s="32"/>
      <c r="E17" s="33"/>
    </row>
    <row r="18" spans="1:5" x14ac:dyDescent="0.2">
      <c r="A18" s="34">
        <v>5.7499999999999982E-3</v>
      </c>
      <c r="B18" s="5">
        <f t="shared" si="0"/>
        <v>1.4166666666666663</v>
      </c>
      <c r="D18" s="32"/>
      <c r="E18" s="33"/>
    </row>
    <row r="19" spans="1:5" x14ac:dyDescent="0.2">
      <c r="A19" s="34">
        <v>6.0599999999999994E-3</v>
      </c>
      <c r="B19" s="5">
        <f t="shared" si="0"/>
        <v>1.4999999999999996</v>
      </c>
      <c r="D19" s="32"/>
      <c r="E19" s="33"/>
    </row>
    <row r="20" spans="1:5" x14ac:dyDescent="0.2">
      <c r="A20" s="34">
        <v>6.4400000000000013E-3</v>
      </c>
      <c r="B20" s="5">
        <f t="shared" si="0"/>
        <v>1.5833333333333328</v>
      </c>
      <c r="D20" s="32"/>
      <c r="E20" s="33"/>
    </row>
    <row r="21" spans="1:5" x14ac:dyDescent="0.2">
      <c r="A21" s="34">
        <v>6.8900000000000003E-3</v>
      </c>
      <c r="B21" s="5">
        <f t="shared" si="0"/>
        <v>1.6666666666666661</v>
      </c>
      <c r="D21" s="32"/>
      <c r="E21" s="33"/>
    </row>
    <row r="22" spans="1:5" x14ac:dyDescent="0.2">
      <c r="A22" s="34">
        <v>7.4099999999999999E-3</v>
      </c>
      <c r="B22" s="5">
        <f t="shared" si="0"/>
        <v>1.7499999999999993</v>
      </c>
      <c r="D22" s="32"/>
      <c r="E22" s="33"/>
    </row>
    <row r="23" spans="1:5" x14ac:dyDescent="0.2">
      <c r="A23" s="34">
        <v>8.0099999999999998E-3</v>
      </c>
      <c r="B23" s="5">
        <f t="shared" si="0"/>
        <v>1.8333333333333326</v>
      </c>
      <c r="D23" s="32"/>
      <c r="E23" s="33"/>
    </row>
    <row r="24" spans="1:5" x14ac:dyDescent="0.2">
      <c r="A24" s="34">
        <v>8.6700000000000006E-3</v>
      </c>
      <c r="B24" s="5">
        <f t="shared" si="0"/>
        <v>1.9166666666666659</v>
      </c>
      <c r="D24" s="32"/>
      <c r="E24" s="33"/>
    </row>
    <row r="25" spans="1:5" x14ac:dyDescent="0.2">
      <c r="A25" s="34">
        <v>9.4099999999999982E-3</v>
      </c>
      <c r="B25" s="5">
        <f t="shared" si="0"/>
        <v>1.9999999999999991</v>
      </c>
      <c r="D25" s="32"/>
      <c r="E25" s="33"/>
    </row>
    <row r="26" spans="1:5" x14ac:dyDescent="0.2">
      <c r="A26" s="34">
        <v>1.023E-2</v>
      </c>
      <c r="B26" s="5">
        <f t="shared" si="0"/>
        <v>2.0833333333333326</v>
      </c>
      <c r="D26" s="32"/>
      <c r="E26" s="33"/>
    </row>
    <row r="27" spans="1:5" x14ac:dyDescent="0.2">
      <c r="A27" s="34">
        <v>1.1119999999999998E-2</v>
      </c>
      <c r="B27" s="5">
        <f t="shared" si="0"/>
        <v>2.1666666666666661</v>
      </c>
      <c r="D27" s="32"/>
      <c r="E27" s="33"/>
    </row>
    <row r="28" spans="1:5" x14ac:dyDescent="0.2">
      <c r="A28" s="34">
        <v>1.1960000000000002E-2</v>
      </c>
      <c r="B28" s="5">
        <f t="shared" si="0"/>
        <v>2.2499999999999996</v>
      </c>
      <c r="D28" s="32"/>
      <c r="E28" s="33"/>
    </row>
    <row r="29" spans="1:5" x14ac:dyDescent="0.2">
      <c r="A29" s="34">
        <v>1.2759999999999997E-2</v>
      </c>
      <c r="B29" s="5">
        <f t="shared" si="0"/>
        <v>2.333333333333333</v>
      </c>
      <c r="D29" s="32"/>
      <c r="E29" s="33"/>
    </row>
    <row r="30" spans="1:5" x14ac:dyDescent="0.2">
      <c r="A30" s="34">
        <v>1.3500000000000002E-2</v>
      </c>
      <c r="B30" s="5">
        <f t="shared" si="0"/>
        <v>2.4166666666666665</v>
      </c>
      <c r="D30" s="32"/>
      <c r="E30" s="33"/>
    </row>
    <row r="31" spans="1:5" x14ac:dyDescent="0.2">
      <c r="A31" s="34">
        <v>1.4200000000000001E-2</v>
      </c>
      <c r="B31" s="5">
        <f t="shared" si="0"/>
        <v>2.5</v>
      </c>
      <c r="D31" s="32"/>
      <c r="E31" s="33"/>
    </row>
    <row r="32" spans="1:5" x14ac:dyDescent="0.2">
      <c r="A32" s="34">
        <v>1.4849999999999999E-2</v>
      </c>
      <c r="B32" s="5">
        <f t="shared" si="0"/>
        <v>2.5833333333333335</v>
      </c>
      <c r="D32" s="32"/>
      <c r="E32" s="33"/>
    </row>
    <row r="33" spans="1:5" x14ac:dyDescent="0.2">
      <c r="A33" s="34">
        <v>1.5450000000000002E-2</v>
      </c>
      <c r="B33" s="5">
        <f t="shared" si="0"/>
        <v>2.666666666666667</v>
      </c>
      <c r="D33" s="32"/>
      <c r="E33" s="33"/>
    </row>
    <row r="34" spans="1:5" x14ac:dyDescent="0.2">
      <c r="A34" s="34">
        <v>1.5990000000000001E-2</v>
      </c>
      <c r="B34" s="5">
        <f t="shared" si="0"/>
        <v>2.7500000000000004</v>
      </c>
      <c r="D34" s="32"/>
      <c r="E34" s="33"/>
    </row>
    <row r="35" spans="1:5" x14ac:dyDescent="0.2">
      <c r="A35" s="34">
        <v>1.6490000000000001E-2</v>
      </c>
      <c r="B35" s="5">
        <f t="shared" si="0"/>
        <v>2.8333333333333339</v>
      </c>
      <c r="D35" s="32"/>
      <c r="E35" s="33"/>
    </row>
    <row r="36" spans="1:5" x14ac:dyDescent="0.2">
      <c r="A36" s="34">
        <v>1.694E-2</v>
      </c>
      <c r="B36" s="5">
        <f t="shared" si="0"/>
        <v>2.9166666666666674</v>
      </c>
      <c r="D36" s="32"/>
      <c r="E36" s="33"/>
    </row>
    <row r="37" spans="1:5" x14ac:dyDescent="0.2">
      <c r="A37" s="34">
        <v>1.7339999999999998E-2</v>
      </c>
      <c r="B37" s="5">
        <f t="shared" si="0"/>
        <v>3.0000000000000009</v>
      </c>
      <c r="D37" s="32"/>
      <c r="E37" s="33"/>
    </row>
    <row r="38" spans="1:5" x14ac:dyDescent="0.2">
      <c r="A38" s="34">
        <v>1.7690000000000001E-2</v>
      </c>
      <c r="B38" s="5">
        <f t="shared" si="0"/>
        <v>3.0833333333333344</v>
      </c>
      <c r="D38" s="32"/>
      <c r="E38" s="33"/>
    </row>
    <row r="39" spans="1:5" x14ac:dyDescent="0.2">
      <c r="A39" s="34">
        <v>1.7979999999999999E-2</v>
      </c>
      <c r="B39" s="5">
        <f t="shared" si="0"/>
        <v>3.1666666666666679</v>
      </c>
      <c r="D39" s="32"/>
      <c r="E39" s="33"/>
    </row>
    <row r="40" spans="1:5" x14ac:dyDescent="0.2">
      <c r="A40" s="34">
        <v>1.8289999999999997E-2</v>
      </c>
      <c r="B40" s="5">
        <f t="shared" si="0"/>
        <v>3.2500000000000013</v>
      </c>
      <c r="D40" s="32"/>
      <c r="E40" s="33"/>
    </row>
    <row r="41" spans="1:5" x14ac:dyDescent="0.2">
      <c r="A41" s="34">
        <v>1.8600000000000002E-2</v>
      </c>
      <c r="B41" s="5">
        <f t="shared" si="0"/>
        <v>3.3333333333333348</v>
      </c>
      <c r="D41" s="32"/>
      <c r="E41" s="33"/>
    </row>
    <row r="42" spans="1:5" x14ac:dyDescent="0.2">
      <c r="A42" s="34">
        <v>1.8920000000000003E-2</v>
      </c>
      <c r="B42" s="5">
        <f t="shared" si="0"/>
        <v>3.4166666666666683</v>
      </c>
      <c r="D42" s="32"/>
      <c r="E42" s="33"/>
    </row>
    <row r="43" spans="1:5" x14ac:dyDescent="0.2">
      <c r="A43" s="34">
        <v>1.9260000000000003E-2</v>
      </c>
      <c r="B43" s="5">
        <f t="shared" si="0"/>
        <v>3.5000000000000018</v>
      </c>
      <c r="D43" s="32"/>
      <c r="E43" s="33"/>
    </row>
    <row r="44" spans="1:5" x14ac:dyDescent="0.2">
      <c r="A44" s="34">
        <v>1.9600000000000003E-2</v>
      </c>
      <c r="B44" s="5">
        <f t="shared" si="0"/>
        <v>3.5833333333333353</v>
      </c>
      <c r="D44" s="32"/>
      <c r="E44" s="33"/>
    </row>
    <row r="45" spans="1:5" x14ac:dyDescent="0.2">
      <c r="A45" s="34">
        <v>1.9949999999999999E-2</v>
      </c>
      <c r="B45" s="5">
        <f t="shared" si="0"/>
        <v>3.6666666666666687</v>
      </c>
      <c r="D45" s="32"/>
      <c r="E45" s="33"/>
    </row>
    <row r="46" spans="1:5" x14ac:dyDescent="0.2">
      <c r="A46" s="34">
        <v>2.0309999999999998E-2</v>
      </c>
      <c r="B46" s="5">
        <f t="shared" si="0"/>
        <v>3.7500000000000022</v>
      </c>
      <c r="D46" s="32"/>
      <c r="E46" s="33"/>
    </row>
    <row r="47" spans="1:5" x14ac:dyDescent="0.2">
      <c r="A47" s="34">
        <v>2.0669999999999997E-2</v>
      </c>
      <c r="B47" s="5">
        <f t="shared" si="0"/>
        <v>3.8333333333333357</v>
      </c>
      <c r="D47" s="32"/>
      <c r="E47" s="33"/>
    </row>
    <row r="48" spans="1:5" x14ac:dyDescent="0.2">
      <c r="A48" s="34">
        <v>2.1050000000000003E-2</v>
      </c>
      <c r="B48" s="5">
        <f t="shared" si="0"/>
        <v>3.9166666666666692</v>
      </c>
      <c r="D48" s="32"/>
      <c r="E48" s="33"/>
    </row>
    <row r="49" spans="1:5" x14ac:dyDescent="0.2">
      <c r="A49" s="34">
        <v>2.1430000000000001E-2</v>
      </c>
      <c r="B49" s="5">
        <f t="shared" si="0"/>
        <v>4.0000000000000027</v>
      </c>
      <c r="D49" s="32"/>
      <c r="E49" s="33"/>
    </row>
    <row r="50" spans="1:5" x14ac:dyDescent="0.2">
      <c r="A50" s="34">
        <v>2.1829999999999999E-2</v>
      </c>
      <c r="B50" s="5">
        <f t="shared" si="0"/>
        <v>4.0833333333333357</v>
      </c>
      <c r="D50" s="32"/>
      <c r="E50" s="33"/>
    </row>
    <row r="51" spans="1:5" x14ac:dyDescent="0.2">
      <c r="A51" s="34">
        <v>2.2229999999999996E-2</v>
      </c>
      <c r="B51" s="5">
        <f t="shared" si="0"/>
        <v>4.1666666666666687</v>
      </c>
      <c r="D51" s="32"/>
      <c r="E51" s="33"/>
    </row>
    <row r="52" spans="1:5" x14ac:dyDescent="0.2">
      <c r="A52" s="34">
        <v>2.2630000000000001E-2</v>
      </c>
      <c r="B52" s="5">
        <f t="shared" si="0"/>
        <v>4.2500000000000018</v>
      </c>
      <c r="D52" s="32"/>
      <c r="E52" s="33"/>
    </row>
    <row r="53" spans="1:5" x14ac:dyDescent="0.2">
      <c r="A53" s="34">
        <v>2.3020000000000002E-2</v>
      </c>
      <c r="B53" s="5">
        <f t="shared" si="0"/>
        <v>4.3333333333333348</v>
      </c>
      <c r="D53" s="32"/>
      <c r="E53" s="33"/>
    </row>
    <row r="54" spans="1:5" x14ac:dyDescent="0.2">
      <c r="A54" s="34">
        <v>2.3400000000000001E-2</v>
      </c>
      <c r="B54" s="5">
        <f t="shared" si="0"/>
        <v>4.4166666666666679</v>
      </c>
      <c r="D54" s="32"/>
      <c r="E54" s="33"/>
    </row>
    <row r="55" spans="1:5" x14ac:dyDescent="0.2">
      <c r="A55" s="34">
        <v>2.3790000000000002E-2</v>
      </c>
      <c r="B55" s="5">
        <f t="shared" si="0"/>
        <v>4.5000000000000009</v>
      </c>
      <c r="D55" s="32"/>
      <c r="E55" s="33"/>
    </row>
    <row r="56" spans="1:5" x14ac:dyDescent="0.2">
      <c r="A56" s="34">
        <v>2.4159999999999997E-2</v>
      </c>
      <c r="B56" s="5">
        <f t="shared" si="0"/>
        <v>4.5833333333333339</v>
      </c>
      <c r="D56" s="32"/>
      <c r="E56" s="33"/>
    </row>
    <row r="57" spans="1:5" x14ac:dyDescent="0.2">
      <c r="A57" s="34">
        <v>2.453E-2</v>
      </c>
      <c r="B57" s="5">
        <f t="shared" si="0"/>
        <v>4.666666666666667</v>
      </c>
      <c r="D57" s="32"/>
      <c r="E57" s="33"/>
    </row>
    <row r="58" spans="1:5" x14ac:dyDescent="0.2">
      <c r="A58" s="34">
        <v>2.4900000000000002E-2</v>
      </c>
      <c r="B58" s="5">
        <f t="shared" si="0"/>
        <v>4.75</v>
      </c>
      <c r="D58" s="32"/>
      <c r="E58" s="33"/>
    </row>
    <row r="59" spans="1:5" x14ac:dyDescent="0.2">
      <c r="A59" s="34">
        <v>2.5260000000000001E-2</v>
      </c>
      <c r="B59" s="5">
        <f t="shared" si="0"/>
        <v>4.833333333333333</v>
      </c>
      <c r="D59" s="32"/>
      <c r="E59" s="33"/>
    </row>
    <row r="60" spans="1:5" x14ac:dyDescent="0.2">
      <c r="A60" s="34">
        <v>2.562E-2</v>
      </c>
      <c r="B60" s="5">
        <f t="shared" si="0"/>
        <v>4.9166666666666661</v>
      </c>
      <c r="D60" s="32"/>
      <c r="E60" s="33"/>
    </row>
    <row r="61" spans="1:5" x14ac:dyDescent="0.2">
      <c r="A61" s="34">
        <v>2.5969999999999997E-2</v>
      </c>
      <c r="B61" s="5">
        <f t="shared" si="0"/>
        <v>4.9999999999999991</v>
      </c>
      <c r="D61" s="32"/>
      <c r="E61" s="33"/>
    </row>
    <row r="62" spans="1:5" x14ac:dyDescent="0.2">
      <c r="A62" s="34">
        <v>2.632E-2</v>
      </c>
      <c r="B62" s="5">
        <f t="shared" si="0"/>
        <v>5.0833333333333321</v>
      </c>
      <c r="D62" s="32"/>
      <c r="E62" s="33"/>
    </row>
    <row r="63" spans="1:5" x14ac:dyDescent="0.2">
      <c r="A63" s="34">
        <v>2.666E-2</v>
      </c>
      <c r="B63" s="5">
        <f t="shared" si="0"/>
        <v>5.1666666666666652</v>
      </c>
      <c r="D63" s="32"/>
      <c r="E63" s="33"/>
    </row>
    <row r="64" spans="1:5" x14ac:dyDescent="0.2">
      <c r="A64" s="34">
        <v>2.6980000000000001E-2</v>
      </c>
      <c r="B64" s="5">
        <f t="shared" si="0"/>
        <v>5.2499999999999982</v>
      </c>
      <c r="D64" s="32"/>
      <c r="E64" s="33"/>
    </row>
    <row r="65" spans="1:5" x14ac:dyDescent="0.2">
      <c r="A65" s="34">
        <v>2.7280000000000002E-2</v>
      </c>
      <c r="B65" s="5">
        <f t="shared" si="0"/>
        <v>5.3333333333333313</v>
      </c>
      <c r="D65" s="32"/>
      <c r="E65" s="33"/>
    </row>
    <row r="66" spans="1:5" x14ac:dyDescent="0.2">
      <c r="A66" s="34">
        <v>2.7570000000000001E-2</v>
      </c>
      <c r="B66" s="5">
        <f t="shared" si="0"/>
        <v>5.4166666666666643</v>
      </c>
      <c r="D66" s="32"/>
      <c r="E66" s="33"/>
    </row>
    <row r="67" spans="1:5" x14ac:dyDescent="0.2">
      <c r="A67" s="34">
        <v>2.7829999999999997E-2</v>
      </c>
      <c r="B67" s="5">
        <f t="shared" si="0"/>
        <v>5.4999999999999973</v>
      </c>
      <c r="D67" s="32"/>
      <c r="E67" s="33"/>
    </row>
    <row r="68" spans="1:5" x14ac:dyDescent="0.2">
      <c r="A68" s="34">
        <v>2.8070000000000001E-2</v>
      </c>
      <c r="B68" s="5">
        <f t="shared" ref="B68:B131" si="1">B67+1/12</f>
        <v>5.5833333333333304</v>
      </c>
      <c r="D68" s="32"/>
      <c r="E68" s="33"/>
    </row>
    <row r="69" spans="1:5" x14ac:dyDescent="0.2">
      <c r="A69" s="34">
        <v>2.8300000000000002E-2</v>
      </c>
      <c r="B69" s="5">
        <f t="shared" si="1"/>
        <v>5.6666666666666634</v>
      </c>
      <c r="D69" s="32"/>
      <c r="E69" s="33"/>
    </row>
    <row r="70" spans="1:5" x14ac:dyDescent="0.2">
      <c r="A70" s="34">
        <v>2.8500000000000001E-2</v>
      </c>
      <c r="B70" s="5">
        <f t="shared" si="1"/>
        <v>5.7499999999999964</v>
      </c>
      <c r="D70" s="32"/>
      <c r="E70" s="33"/>
    </row>
    <row r="71" spans="1:5" x14ac:dyDescent="0.2">
      <c r="A71" s="34">
        <v>2.8689999999999997E-2</v>
      </c>
      <c r="B71" s="5">
        <f t="shared" si="1"/>
        <v>5.8333333333333295</v>
      </c>
      <c r="D71" s="32"/>
      <c r="E71" s="33"/>
    </row>
    <row r="72" spans="1:5" x14ac:dyDescent="0.2">
      <c r="A72" s="34">
        <v>2.8849999999999997E-2</v>
      </c>
      <c r="B72" s="5">
        <f t="shared" si="1"/>
        <v>5.9166666666666625</v>
      </c>
      <c r="D72" s="32"/>
      <c r="E72" s="33"/>
    </row>
    <row r="73" spans="1:5" x14ac:dyDescent="0.2">
      <c r="A73" s="34">
        <v>2.9000000000000001E-2</v>
      </c>
      <c r="B73" s="5">
        <f t="shared" si="1"/>
        <v>5.9999999999999956</v>
      </c>
      <c r="D73" s="32"/>
      <c r="E73" s="33"/>
    </row>
    <row r="74" spans="1:5" x14ac:dyDescent="0.2">
      <c r="A74" s="34">
        <v>2.913E-2</v>
      </c>
      <c r="B74" s="5">
        <f t="shared" si="1"/>
        <v>6.0833333333333286</v>
      </c>
      <c r="D74" s="32"/>
      <c r="E74" s="33"/>
    </row>
    <row r="75" spans="1:5" x14ac:dyDescent="0.2">
      <c r="A75" s="34">
        <v>2.9230000000000003E-2</v>
      </c>
      <c r="B75" s="5">
        <f t="shared" si="1"/>
        <v>6.1666666666666616</v>
      </c>
      <c r="D75" s="32"/>
      <c r="E75" s="33"/>
    </row>
    <row r="76" spans="1:5" x14ac:dyDescent="0.2">
      <c r="A76" s="34">
        <v>2.9340000000000001E-2</v>
      </c>
      <c r="B76" s="5">
        <f t="shared" si="1"/>
        <v>6.2499999999999947</v>
      </c>
      <c r="D76" s="32"/>
      <c r="E76" s="33"/>
    </row>
    <row r="77" spans="1:5" x14ac:dyDescent="0.2">
      <c r="A77" s="34">
        <v>2.9430000000000001E-2</v>
      </c>
      <c r="B77" s="5">
        <f t="shared" si="1"/>
        <v>6.3333333333333277</v>
      </c>
      <c r="D77" s="32"/>
      <c r="E77" s="33"/>
    </row>
    <row r="78" spans="1:5" x14ac:dyDescent="0.2">
      <c r="A78" s="34">
        <v>2.9520000000000001E-2</v>
      </c>
      <c r="B78" s="5">
        <f t="shared" si="1"/>
        <v>6.4166666666666607</v>
      </c>
      <c r="D78" s="32"/>
      <c r="E78" s="33"/>
    </row>
    <row r="79" spans="1:5" x14ac:dyDescent="0.2">
      <c r="A79" s="34">
        <v>2.9610000000000001E-2</v>
      </c>
      <c r="B79" s="5">
        <f t="shared" si="1"/>
        <v>6.4999999999999938</v>
      </c>
      <c r="D79" s="32"/>
      <c r="E79" s="33"/>
    </row>
    <row r="80" spans="1:5" x14ac:dyDescent="0.2">
      <c r="A80" s="34">
        <v>2.9689999999999998E-2</v>
      </c>
      <c r="B80" s="5">
        <f t="shared" si="1"/>
        <v>6.5833333333333268</v>
      </c>
      <c r="D80" s="32"/>
      <c r="E80" s="33"/>
    </row>
    <row r="81" spans="1:5" x14ac:dyDescent="0.2">
      <c r="A81" s="34">
        <v>2.9770000000000001E-2</v>
      </c>
      <c r="B81" s="5">
        <f t="shared" si="1"/>
        <v>6.6666666666666599</v>
      </c>
      <c r="D81" s="32"/>
      <c r="E81" s="33"/>
    </row>
    <row r="82" spans="1:5" x14ac:dyDescent="0.2">
      <c r="A82" s="34">
        <v>2.9840000000000002E-2</v>
      </c>
      <c r="B82" s="5">
        <f t="shared" si="1"/>
        <v>6.7499999999999929</v>
      </c>
      <c r="D82" s="32"/>
      <c r="E82" s="33"/>
    </row>
    <row r="83" spans="1:5" x14ac:dyDescent="0.2">
      <c r="A83" s="34">
        <v>2.9910000000000003E-2</v>
      </c>
      <c r="B83" s="5">
        <f t="shared" si="1"/>
        <v>6.8333333333333259</v>
      </c>
      <c r="D83" s="32"/>
      <c r="E83" s="33"/>
    </row>
    <row r="84" spans="1:5" x14ac:dyDescent="0.2">
      <c r="A84" s="34">
        <v>2.997E-2</v>
      </c>
      <c r="B84" s="5">
        <f t="shared" si="1"/>
        <v>6.916666666666659</v>
      </c>
      <c r="D84" s="32"/>
      <c r="E84" s="33"/>
    </row>
    <row r="85" spans="1:5" x14ac:dyDescent="0.2">
      <c r="A85" s="34">
        <v>3.0029999999999998E-2</v>
      </c>
      <c r="B85" s="5">
        <f t="shared" si="1"/>
        <v>6.999999999999992</v>
      </c>
      <c r="D85" s="32"/>
      <c r="E85" s="33"/>
    </row>
    <row r="86" spans="1:5" x14ac:dyDescent="0.2">
      <c r="A86" s="34">
        <v>3.0079999999999999E-2</v>
      </c>
      <c r="B86" s="5">
        <f t="shared" si="1"/>
        <v>7.083333333333325</v>
      </c>
      <c r="D86" s="32"/>
      <c r="E86" s="33"/>
    </row>
    <row r="87" spans="1:5" x14ac:dyDescent="0.2">
      <c r="A87" s="34">
        <v>3.0119999999999997E-2</v>
      </c>
      <c r="B87" s="5">
        <f t="shared" si="1"/>
        <v>7.1666666666666581</v>
      </c>
      <c r="D87" s="32"/>
      <c r="E87" s="33"/>
    </row>
    <row r="88" spans="1:5" x14ac:dyDescent="0.2">
      <c r="A88" s="34">
        <v>3.0189999999999998E-2</v>
      </c>
      <c r="B88" s="5">
        <f t="shared" si="1"/>
        <v>7.2499999999999911</v>
      </c>
      <c r="D88" s="32"/>
      <c r="E88" s="33"/>
    </row>
    <row r="89" spans="1:5" x14ac:dyDescent="0.2">
      <c r="A89" s="34">
        <v>3.0270000000000002E-2</v>
      </c>
      <c r="B89" s="5">
        <f t="shared" si="1"/>
        <v>7.3333333333333242</v>
      </c>
      <c r="D89" s="32"/>
      <c r="E89" s="33"/>
    </row>
    <row r="90" spans="1:5" x14ac:dyDescent="0.2">
      <c r="A90" s="34">
        <v>3.0380000000000001E-2</v>
      </c>
      <c r="B90" s="5">
        <f t="shared" si="1"/>
        <v>7.4166666666666572</v>
      </c>
      <c r="D90" s="32"/>
      <c r="E90" s="33"/>
    </row>
    <row r="91" spans="1:5" x14ac:dyDescent="0.2">
      <c r="A91" s="34">
        <v>3.0500000000000003E-2</v>
      </c>
      <c r="B91" s="5">
        <f t="shared" si="1"/>
        <v>7.4999999999999902</v>
      </c>
      <c r="D91" s="32"/>
      <c r="E91" s="33"/>
    </row>
    <row r="92" spans="1:5" x14ac:dyDescent="0.2">
      <c r="A92" s="34">
        <v>3.065E-2</v>
      </c>
      <c r="B92" s="5">
        <f t="shared" si="1"/>
        <v>7.5833333333333233</v>
      </c>
      <c r="D92" s="32"/>
      <c r="E92" s="33"/>
    </row>
    <row r="93" spans="1:5" x14ac:dyDescent="0.2">
      <c r="A93" s="34">
        <v>3.0810000000000001E-2</v>
      </c>
      <c r="B93" s="5">
        <f t="shared" si="1"/>
        <v>7.6666666666666563</v>
      </c>
      <c r="D93" s="32"/>
      <c r="E93" s="33"/>
    </row>
    <row r="94" spans="1:5" x14ac:dyDescent="0.2">
      <c r="A94" s="34">
        <v>3.0999999999999996E-2</v>
      </c>
      <c r="B94" s="5">
        <f t="shared" si="1"/>
        <v>7.7499999999999893</v>
      </c>
      <c r="D94" s="32"/>
      <c r="E94" s="33"/>
    </row>
    <row r="95" spans="1:5" x14ac:dyDescent="0.2">
      <c r="A95" s="34">
        <v>3.1200000000000002E-2</v>
      </c>
      <c r="B95" s="5">
        <f t="shared" si="1"/>
        <v>7.8333333333333224</v>
      </c>
      <c r="D95" s="32"/>
      <c r="E95" s="33"/>
    </row>
    <row r="96" spans="1:5" x14ac:dyDescent="0.2">
      <c r="A96" s="34">
        <v>3.1420000000000003E-2</v>
      </c>
      <c r="B96" s="5">
        <f t="shared" si="1"/>
        <v>7.9166666666666554</v>
      </c>
      <c r="D96" s="32"/>
      <c r="E96" s="33"/>
    </row>
    <row r="97" spans="1:5" x14ac:dyDescent="0.2">
      <c r="A97" s="34">
        <v>3.1670000000000004E-2</v>
      </c>
      <c r="B97" s="5">
        <f t="shared" si="1"/>
        <v>7.9999999999999885</v>
      </c>
      <c r="D97" s="32"/>
      <c r="E97" s="33"/>
    </row>
    <row r="98" spans="1:5" x14ac:dyDescent="0.2">
      <c r="A98" s="34">
        <v>3.193E-2</v>
      </c>
      <c r="B98" s="5">
        <f t="shared" si="1"/>
        <v>8.0833333333333215</v>
      </c>
      <c r="D98" s="32"/>
      <c r="E98" s="33"/>
    </row>
    <row r="99" spans="1:5" x14ac:dyDescent="0.2">
      <c r="A99" s="34">
        <v>3.2219999999999999E-2</v>
      </c>
      <c r="B99" s="5">
        <f t="shared" si="1"/>
        <v>8.1666666666666554</v>
      </c>
      <c r="D99" s="32"/>
      <c r="E99" s="33"/>
    </row>
    <row r="100" spans="1:5" x14ac:dyDescent="0.2">
      <c r="A100" s="34">
        <v>3.2479999999999995E-2</v>
      </c>
      <c r="B100" s="5">
        <f t="shared" si="1"/>
        <v>8.2499999999999893</v>
      </c>
      <c r="D100" s="32"/>
      <c r="E100" s="33"/>
    </row>
    <row r="101" spans="1:5" x14ac:dyDescent="0.2">
      <c r="A101" s="34">
        <v>3.2719999999999999E-2</v>
      </c>
      <c r="B101" s="5">
        <f t="shared" si="1"/>
        <v>8.3333333333333233</v>
      </c>
      <c r="D101" s="32"/>
      <c r="E101" s="33"/>
    </row>
    <row r="102" spans="1:5" x14ac:dyDescent="0.2">
      <c r="A102" s="34">
        <v>3.2949999999999993E-2</v>
      </c>
      <c r="B102" s="5">
        <f t="shared" si="1"/>
        <v>8.4166666666666572</v>
      </c>
      <c r="D102" s="32"/>
      <c r="E102" s="33"/>
    </row>
    <row r="103" spans="1:5" x14ac:dyDescent="0.2">
      <c r="A103" s="34">
        <v>3.3149999999999999E-2</v>
      </c>
      <c r="B103" s="5">
        <f t="shared" si="1"/>
        <v>8.4999999999999911</v>
      </c>
      <c r="D103" s="32"/>
      <c r="E103" s="33"/>
    </row>
    <row r="104" spans="1:5" x14ac:dyDescent="0.2">
      <c r="A104" s="34">
        <v>3.3320000000000002E-2</v>
      </c>
      <c r="B104" s="5">
        <f t="shared" si="1"/>
        <v>8.583333333333325</v>
      </c>
      <c r="D104" s="32"/>
      <c r="E104" s="33"/>
    </row>
    <row r="105" spans="1:5" x14ac:dyDescent="0.2">
      <c r="A105" s="34">
        <v>3.3479999999999996E-2</v>
      </c>
      <c r="B105" s="5">
        <f t="shared" si="1"/>
        <v>8.666666666666659</v>
      </c>
      <c r="D105" s="32"/>
      <c r="E105" s="33"/>
    </row>
    <row r="106" spans="1:5" x14ac:dyDescent="0.2">
      <c r="A106" s="34">
        <v>3.3619999999999997E-2</v>
      </c>
      <c r="B106" s="5">
        <f t="shared" si="1"/>
        <v>8.7499999999999929</v>
      </c>
      <c r="D106" s="32"/>
      <c r="E106" s="33"/>
    </row>
    <row r="107" spans="1:5" x14ac:dyDescent="0.2">
      <c r="A107" s="34">
        <v>3.3729999999999996E-2</v>
      </c>
      <c r="B107" s="5">
        <f t="shared" si="1"/>
        <v>8.8333333333333268</v>
      </c>
      <c r="D107" s="32"/>
      <c r="E107" s="33"/>
    </row>
    <row r="108" spans="1:5" x14ac:dyDescent="0.2">
      <c r="A108" s="34">
        <v>3.3820000000000003E-2</v>
      </c>
      <c r="B108" s="5">
        <f t="shared" si="1"/>
        <v>8.9166666666666607</v>
      </c>
      <c r="D108" s="32"/>
      <c r="E108" s="33"/>
    </row>
    <row r="109" spans="1:5" x14ac:dyDescent="0.2">
      <c r="A109" s="34">
        <v>3.39E-2</v>
      </c>
      <c r="B109" s="5">
        <f t="shared" si="1"/>
        <v>8.9999999999999947</v>
      </c>
      <c r="D109" s="32"/>
      <c r="E109" s="33"/>
    </row>
    <row r="110" spans="1:5" x14ac:dyDescent="0.2">
      <c r="A110" s="34">
        <v>3.3949999999999994E-2</v>
      </c>
      <c r="B110" s="5">
        <f t="shared" si="1"/>
        <v>9.0833333333333286</v>
      </c>
      <c r="D110" s="32"/>
      <c r="E110" s="33"/>
    </row>
    <row r="111" spans="1:5" x14ac:dyDescent="0.2">
      <c r="A111" s="34">
        <v>3.3979999999999996E-2</v>
      </c>
      <c r="B111" s="5">
        <f t="shared" si="1"/>
        <v>9.1666666666666625</v>
      </c>
      <c r="D111" s="32"/>
      <c r="E111" s="33"/>
    </row>
    <row r="112" spans="1:5" x14ac:dyDescent="0.2">
      <c r="A112" s="34">
        <v>3.4000000000000002E-2</v>
      </c>
      <c r="B112" s="5">
        <f t="shared" si="1"/>
        <v>9.2499999999999964</v>
      </c>
      <c r="D112" s="32"/>
      <c r="E112" s="33"/>
    </row>
    <row r="113" spans="1:5" x14ac:dyDescent="0.2">
      <c r="A113" s="34">
        <v>3.4030000000000005E-2</v>
      </c>
      <c r="B113" s="5">
        <f t="shared" si="1"/>
        <v>9.3333333333333304</v>
      </c>
      <c r="D113" s="32"/>
      <c r="E113" s="33"/>
    </row>
    <row r="114" spans="1:5" x14ac:dyDescent="0.2">
      <c r="A114" s="34">
        <v>3.4049999999999997E-2</v>
      </c>
      <c r="B114" s="5">
        <f t="shared" si="1"/>
        <v>9.4166666666666643</v>
      </c>
      <c r="D114" s="32"/>
      <c r="E114" s="33"/>
    </row>
    <row r="115" spans="1:5" x14ac:dyDescent="0.2">
      <c r="A115" s="34">
        <v>3.4070000000000003E-2</v>
      </c>
      <c r="B115" s="5">
        <f t="shared" si="1"/>
        <v>9.4999999999999982</v>
      </c>
      <c r="D115" s="32"/>
      <c r="E115" s="33"/>
    </row>
    <row r="116" spans="1:5" x14ac:dyDescent="0.2">
      <c r="A116" s="34">
        <v>3.4089999999999995E-2</v>
      </c>
      <c r="B116" s="5">
        <f t="shared" si="1"/>
        <v>9.5833333333333321</v>
      </c>
      <c r="D116" s="32"/>
      <c r="E116" s="33"/>
    </row>
    <row r="117" spans="1:5" x14ac:dyDescent="0.2">
      <c r="A117" s="34">
        <v>3.4100000000000005E-2</v>
      </c>
      <c r="B117" s="5">
        <f t="shared" si="1"/>
        <v>9.6666666666666661</v>
      </c>
      <c r="D117" s="32"/>
      <c r="E117" s="33"/>
    </row>
    <row r="118" spans="1:5" x14ac:dyDescent="0.2">
      <c r="A118" s="34">
        <v>3.4110000000000001E-2</v>
      </c>
      <c r="B118" s="5">
        <f t="shared" si="1"/>
        <v>9.75</v>
      </c>
      <c r="D118" s="32"/>
      <c r="E118" s="33"/>
    </row>
    <row r="119" spans="1:5" x14ac:dyDescent="0.2">
      <c r="A119" s="34">
        <v>3.4119999999999998E-2</v>
      </c>
      <c r="B119" s="5">
        <f t="shared" si="1"/>
        <v>9.8333333333333339</v>
      </c>
      <c r="D119" s="32"/>
      <c r="E119" s="33"/>
    </row>
    <row r="120" spans="1:5" x14ac:dyDescent="0.2">
      <c r="A120" s="34">
        <v>3.4129999999999994E-2</v>
      </c>
      <c r="B120" s="5">
        <f t="shared" si="1"/>
        <v>9.9166666666666679</v>
      </c>
      <c r="D120" s="32"/>
      <c r="E120" s="33"/>
    </row>
    <row r="121" spans="1:5" x14ac:dyDescent="0.2">
      <c r="A121" s="34">
        <v>3.4140000000000004E-2</v>
      </c>
      <c r="B121" s="5">
        <f t="shared" si="1"/>
        <v>10.000000000000002</v>
      </c>
      <c r="D121" s="32"/>
      <c r="E121" s="33"/>
    </row>
    <row r="122" spans="1:5" x14ac:dyDescent="0.2">
      <c r="A122" s="34">
        <v>3.4140000000000004E-2</v>
      </c>
      <c r="B122" s="5">
        <f t="shared" si="1"/>
        <v>10.083333333333336</v>
      </c>
      <c r="D122" s="32"/>
      <c r="E122" s="33"/>
    </row>
    <row r="123" spans="1:5" x14ac:dyDescent="0.2">
      <c r="A123" s="34">
        <v>3.5500000000000004E-2</v>
      </c>
      <c r="B123" s="5">
        <f t="shared" si="1"/>
        <v>10.16666666666667</v>
      </c>
      <c r="D123" s="32"/>
      <c r="E123" s="33"/>
    </row>
    <row r="124" spans="1:5" x14ac:dyDescent="0.2">
      <c r="A124" s="34">
        <v>3.5500000000000004E-2</v>
      </c>
      <c r="B124" s="5">
        <f t="shared" si="1"/>
        <v>10.250000000000004</v>
      </c>
      <c r="D124" s="32"/>
      <c r="E124" s="33"/>
    </row>
    <row r="125" spans="1:5" x14ac:dyDescent="0.2">
      <c r="A125" s="34">
        <v>3.5500000000000004E-2</v>
      </c>
      <c r="B125" s="5">
        <f t="shared" si="1"/>
        <v>10.333333333333337</v>
      </c>
      <c r="D125" s="32"/>
      <c r="E125" s="33"/>
    </row>
    <row r="126" spans="1:5" x14ac:dyDescent="0.2">
      <c r="A126" s="34">
        <v>3.5500000000000004E-2</v>
      </c>
      <c r="B126" s="5">
        <f t="shared" si="1"/>
        <v>10.416666666666671</v>
      </c>
      <c r="D126" s="32"/>
      <c r="E126" s="33"/>
    </row>
    <row r="127" spans="1:5" x14ac:dyDescent="0.2">
      <c r="A127" s="34">
        <v>3.5500000000000004E-2</v>
      </c>
      <c r="B127" s="5">
        <f t="shared" si="1"/>
        <v>10.500000000000005</v>
      </c>
      <c r="D127" s="32"/>
      <c r="E127" s="33"/>
    </row>
    <row r="128" spans="1:5" x14ac:dyDescent="0.2">
      <c r="A128" s="34">
        <v>3.5500000000000004E-2</v>
      </c>
      <c r="B128" s="5">
        <f t="shared" si="1"/>
        <v>10.583333333333339</v>
      </c>
      <c r="D128" s="32"/>
      <c r="E128" s="33"/>
    </row>
    <row r="129" spans="1:5" x14ac:dyDescent="0.2">
      <c r="A129" s="34">
        <v>3.5500000000000004E-2</v>
      </c>
      <c r="B129" s="5">
        <f t="shared" si="1"/>
        <v>10.666666666666673</v>
      </c>
      <c r="D129" s="32"/>
      <c r="E129" s="33"/>
    </row>
    <row r="130" spans="1:5" x14ac:dyDescent="0.2">
      <c r="A130" s="34">
        <v>3.5500000000000004E-2</v>
      </c>
      <c r="B130" s="5">
        <f t="shared" si="1"/>
        <v>10.750000000000007</v>
      </c>
      <c r="D130" s="32"/>
      <c r="E130" s="33"/>
    </row>
    <row r="131" spans="1:5" x14ac:dyDescent="0.2">
      <c r="A131" s="34">
        <v>3.5500000000000004E-2</v>
      </c>
      <c r="B131" s="5">
        <f t="shared" si="1"/>
        <v>10.833333333333341</v>
      </c>
      <c r="D131" s="32"/>
      <c r="E131" s="33"/>
    </row>
    <row r="132" spans="1:5" x14ac:dyDescent="0.2">
      <c r="A132" s="34">
        <v>3.5500000000000004E-2</v>
      </c>
      <c r="B132" s="5">
        <f t="shared" ref="B132:B195" si="2">B131+1/12</f>
        <v>10.916666666666675</v>
      </c>
      <c r="D132" s="32"/>
      <c r="E132" s="33"/>
    </row>
    <row r="133" spans="1:5" x14ac:dyDescent="0.2">
      <c r="A133" s="34">
        <v>3.5500000000000004E-2</v>
      </c>
      <c r="B133" s="5">
        <f t="shared" si="2"/>
        <v>11.000000000000009</v>
      </c>
      <c r="D133" s="32"/>
      <c r="E133" s="33"/>
    </row>
    <row r="134" spans="1:5" x14ac:dyDescent="0.2">
      <c r="A134" s="34">
        <v>3.5500000000000004E-2</v>
      </c>
      <c r="B134" s="5">
        <f t="shared" si="2"/>
        <v>11.083333333333343</v>
      </c>
      <c r="D134" s="32"/>
      <c r="E134" s="33"/>
    </row>
    <row r="135" spans="1:5" x14ac:dyDescent="0.2">
      <c r="A135" s="34">
        <v>3.5500000000000004E-2</v>
      </c>
      <c r="B135" s="5">
        <f t="shared" si="2"/>
        <v>11.166666666666677</v>
      </c>
      <c r="D135" s="32"/>
      <c r="E135" s="33"/>
    </row>
    <row r="136" spans="1:5" x14ac:dyDescent="0.2">
      <c r="A136" s="34">
        <v>3.5500000000000004E-2</v>
      </c>
      <c r="B136" s="5">
        <f t="shared" si="2"/>
        <v>11.250000000000011</v>
      </c>
      <c r="D136" s="32"/>
      <c r="E136" s="33"/>
    </row>
    <row r="137" spans="1:5" x14ac:dyDescent="0.2">
      <c r="A137" s="34">
        <v>3.5500000000000004E-2</v>
      </c>
      <c r="B137" s="5">
        <f t="shared" si="2"/>
        <v>11.333333333333345</v>
      </c>
      <c r="D137" s="32"/>
      <c r="E137" s="33"/>
    </row>
    <row r="138" spans="1:5" x14ac:dyDescent="0.2">
      <c r="A138" s="34">
        <v>3.5500000000000004E-2</v>
      </c>
      <c r="B138" s="5">
        <f t="shared" si="2"/>
        <v>11.416666666666679</v>
      </c>
      <c r="D138" s="32"/>
      <c r="E138" s="33"/>
    </row>
    <row r="139" spans="1:5" x14ac:dyDescent="0.2">
      <c r="A139" s="34">
        <v>3.5500000000000004E-2</v>
      </c>
      <c r="B139" s="5">
        <f t="shared" si="2"/>
        <v>11.500000000000012</v>
      </c>
      <c r="D139" s="32"/>
      <c r="E139" s="33"/>
    </row>
    <row r="140" spans="1:5" x14ac:dyDescent="0.2">
      <c r="A140" s="34">
        <v>3.5500000000000004E-2</v>
      </c>
      <c r="B140" s="5">
        <f t="shared" si="2"/>
        <v>11.583333333333346</v>
      </c>
      <c r="D140" s="32"/>
      <c r="E140" s="33"/>
    </row>
    <row r="141" spans="1:5" x14ac:dyDescent="0.2">
      <c r="A141" s="34">
        <v>3.5500000000000004E-2</v>
      </c>
      <c r="B141" s="5">
        <f t="shared" si="2"/>
        <v>11.66666666666668</v>
      </c>
      <c r="D141" s="32"/>
      <c r="E141" s="33"/>
    </row>
    <row r="142" spans="1:5" x14ac:dyDescent="0.2">
      <c r="A142" s="34">
        <v>3.5500000000000004E-2</v>
      </c>
      <c r="B142" s="5">
        <f t="shared" si="2"/>
        <v>11.750000000000014</v>
      </c>
      <c r="D142" s="32"/>
      <c r="E142" s="33"/>
    </row>
    <row r="143" spans="1:5" x14ac:dyDescent="0.2">
      <c r="A143" s="34">
        <v>3.5500000000000004E-2</v>
      </c>
      <c r="B143" s="5">
        <f t="shared" si="2"/>
        <v>11.833333333333348</v>
      </c>
      <c r="D143" s="32"/>
      <c r="E143" s="33"/>
    </row>
    <row r="144" spans="1:5" x14ac:dyDescent="0.2">
      <c r="A144" s="34">
        <v>3.5500000000000004E-2</v>
      </c>
      <c r="B144" s="5">
        <f t="shared" si="2"/>
        <v>11.916666666666682</v>
      </c>
      <c r="D144" s="32"/>
      <c r="E144" s="33"/>
    </row>
    <row r="145" spans="1:5" x14ac:dyDescent="0.2">
      <c r="A145" s="34">
        <v>3.5500000000000004E-2</v>
      </c>
      <c r="B145" s="5">
        <f t="shared" si="2"/>
        <v>12.000000000000016</v>
      </c>
      <c r="D145" s="32"/>
      <c r="E145" s="33"/>
    </row>
    <row r="146" spans="1:5" x14ac:dyDescent="0.2">
      <c r="A146" s="34">
        <v>3.5500000000000004E-2</v>
      </c>
      <c r="B146" s="5">
        <f t="shared" si="2"/>
        <v>12.08333333333335</v>
      </c>
      <c r="D146" s="32"/>
      <c r="E146" s="33"/>
    </row>
    <row r="147" spans="1:5" x14ac:dyDescent="0.2">
      <c r="A147" s="34">
        <v>3.5500000000000004E-2</v>
      </c>
      <c r="B147" s="5">
        <f t="shared" si="2"/>
        <v>12.166666666666684</v>
      </c>
      <c r="D147" s="32"/>
      <c r="E147" s="33"/>
    </row>
    <row r="148" spans="1:5" x14ac:dyDescent="0.2">
      <c r="A148" s="34">
        <v>3.5500000000000004E-2</v>
      </c>
      <c r="B148" s="5">
        <f t="shared" si="2"/>
        <v>12.250000000000018</v>
      </c>
      <c r="D148" s="32"/>
      <c r="E148" s="33"/>
    </row>
    <row r="149" spans="1:5" x14ac:dyDescent="0.2">
      <c r="A149" s="34">
        <v>3.5500000000000004E-2</v>
      </c>
      <c r="B149" s="5">
        <f t="shared" si="2"/>
        <v>12.333333333333352</v>
      </c>
      <c r="D149" s="32"/>
      <c r="E149" s="33"/>
    </row>
    <row r="150" spans="1:5" x14ac:dyDescent="0.2">
      <c r="A150" s="34">
        <v>3.5500000000000004E-2</v>
      </c>
      <c r="B150" s="5">
        <f t="shared" si="2"/>
        <v>12.416666666666686</v>
      </c>
      <c r="D150" s="32"/>
      <c r="E150" s="33"/>
    </row>
    <row r="151" spans="1:5" x14ac:dyDescent="0.2">
      <c r="A151" s="34">
        <v>3.5500000000000004E-2</v>
      </c>
      <c r="B151" s="5">
        <f t="shared" si="2"/>
        <v>12.50000000000002</v>
      </c>
      <c r="D151" s="32"/>
      <c r="E151" s="33"/>
    </row>
    <row r="152" spans="1:5" x14ac:dyDescent="0.2">
      <c r="A152" s="34">
        <v>3.5500000000000004E-2</v>
      </c>
      <c r="B152" s="5">
        <f t="shared" si="2"/>
        <v>12.583333333333353</v>
      </c>
      <c r="D152" s="32"/>
      <c r="E152" s="33"/>
    </row>
    <row r="153" spans="1:5" x14ac:dyDescent="0.2">
      <c r="A153" s="34">
        <v>3.5500000000000004E-2</v>
      </c>
      <c r="B153" s="5">
        <f t="shared" si="2"/>
        <v>12.666666666666687</v>
      </c>
      <c r="D153" s="32"/>
      <c r="E153" s="33"/>
    </row>
    <row r="154" spans="1:5" x14ac:dyDescent="0.2">
      <c r="A154" s="34">
        <v>3.5500000000000004E-2</v>
      </c>
      <c r="B154" s="5">
        <f t="shared" si="2"/>
        <v>12.750000000000021</v>
      </c>
      <c r="D154" s="32"/>
      <c r="E154" s="33"/>
    </row>
    <row r="155" spans="1:5" x14ac:dyDescent="0.2">
      <c r="A155" s="34">
        <v>3.5500000000000004E-2</v>
      </c>
      <c r="B155" s="5">
        <f t="shared" si="2"/>
        <v>12.833333333333355</v>
      </c>
      <c r="D155" s="32"/>
      <c r="E155" s="33"/>
    </row>
    <row r="156" spans="1:5" x14ac:dyDescent="0.2">
      <c r="A156" s="34">
        <v>3.5500000000000004E-2</v>
      </c>
      <c r="B156" s="5">
        <f t="shared" si="2"/>
        <v>12.916666666666689</v>
      </c>
      <c r="D156" s="32"/>
      <c r="E156" s="33"/>
    </row>
    <row r="157" spans="1:5" x14ac:dyDescent="0.2">
      <c r="A157" s="34">
        <v>3.5500000000000004E-2</v>
      </c>
      <c r="B157" s="5">
        <f t="shared" si="2"/>
        <v>13.000000000000023</v>
      </c>
      <c r="D157" s="32"/>
      <c r="E157" s="33"/>
    </row>
    <row r="158" spans="1:5" x14ac:dyDescent="0.2">
      <c r="A158" s="34">
        <v>3.5500000000000004E-2</v>
      </c>
      <c r="B158" s="5">
        <f t="shared" si="2"/>
        <v>13.083333333333357</v>
      </c>
      <c r="D158" s="32"/>
      <c r="E158" s="33"/>
    </row>
    <row r="159" spans="1:5" x14ac:dyDescent="0.2">
      <c r="A159" s="34">
        <v>3.5500000000000004E-2</v>
      </c>
      <c r="B159" s="5">
        <f t="shared" si="2"/>
        <v>13.166666666666691</v>
      </c>
      <c r="D159" s="32"/>
      <c r="E159" s="33"/>
    </row>
    <row r="160" spans="1:5" x14ac:dyDescent="0.2">
      <c r="A160" s="34">
        <v>3.5500000000000004E-2</v>
      </c>
      <c r="B160" s="5">
        <f t="shared" si="2"/>
        <v>13.250000000000025</v>
      </c>
      <c r="D160" s="32"/>
      <c r="E160" s="33"/>
    </row>
    <row r="161" spans="1:5" x14ac:dyDescent="0.2">
      <c r="A161" s="34">
        <v>3.5500000000000004E-2</v>
      </c>
      <c r="B161" s="5">
        <f t="shared" si="2"/>
        <v>13.333333333333359</v>
      </c>
      <c r="D161" s="32"/>
      <c r="E161" s="33"/>
    </row>
    <row r="162" spans="1:5" x14ac:dyDescent="0.2">
      <c r="A162" s="34">
        <v>3.5500000000000004E-2</v>
      </c>
      <c r="B162" s="5">
        <f t="shared" si="2"/>
        <v>13.416666666666693</v>
      </c>
      <c r="D162" s="32"/>
      <c r="E162" s="33"/>
    </row>
    <row r="163" spans="1:5" x14ac:dyDescent="0.2">
      <c r="A163" s="34">
        <v>3.5500000000000004E-2</v>
      </c>
      <c r="B163" s="5">
        <f t="shared" si="2"/>
        <v>13.500000000000027</v>
      </c>
      <c r="D163" s="32"/>
      <c r="E163" s="33"/>
    </row>
    <row r="164" spans="1:5" x14ac:dyDescent="0.2">
      <c r="A164" s="34">
        <v>3.5500000000000004E-2</v>
      </c>
      <c r="B164" s="5">
        <f t="shared" si="2"/>
        <v>13.583333333333361</v>
      </c>
      <c r="D164" s="32"/>
      <c r="E164" s="33"/>
    </row>
    <row r="165" spans="1:5" x14ac:dyDescent="0.2">
      <c r="A165" s="34">
        <v>3.5500000000000004E-2</v>
      </c>
      <c r="B165" s="5">
        <f t="shared" si="2"/>
        <v>13.666666666666694</v>
      </c>
      <c r="D165" s="32"/>
      <c r="E165" s="33"/>
    </row>
    <row r="166" spans="1:5" x14ac:dyDescent="0.2">
      <c r="A166" s="34">
        <v>3.5500000000000004E-2</v>
      </c>
      <c r="B166" s="5">
        <f t="shared" si="2"/>
        <v>13.750000000000028</v>
      </c>
      <c r="D166" s="32"/>
      <c r="E166" s="33"/>
    </row>
    <row r="167" spans="1:5" x14ac:dyDescent="0.2">
      <c r="A167" s="34">
        <v>3.5500000000000004E-2</v>
      </c>
      <c r="B167" s="5">
        <f t="shared" si="2"/>
        <v>13.833333333333362</v>
      </c>
      <c r="D167" s="32"/>
      <c r="E167" s="33"/>
    </row>
    <row r="168" spans="1:5" x14ac:dyDescent="0.2">
      <c r="A168" s="34">
        <v>3.5500000000000004E-2</v>
      </c>
      <c r="B168" s="5">
        <f t="shared" si="2"/>
        <v>13.916666666666696</v>
      </c>
      <c r="D168" s="32"/>
      <c r="E168" s="33"/>
    </row>
    <row r="169" spans="1:5" x14ac:dyDescent="0.2">
      <c r="A169" s="34">
        <v>3.5500000000000004E-2</v>
      </c>
      <c r="B169" s="5">
        <f t="shared" si="2"/>
        <v>14.00000000000003</v>
      </c>
      <c r="D169" s="32"/>
      <c r="E169" s="33"/>
    </row>
    <row r="170" spans="1:5" x14ac:dyDescent="0.2">
      <c r="A170" s="34">
        <v>3.5500000000000004E-2</v>
      </c>
      <c r="B170" s="5">
        <f t="shared" si="2"/>
        <v>14.083333333333364</v>
      </c>
      <c r="D170" s="32"/>
      <c r="E170" s="33"/>
    </row>
    <row r="171" spans="1:5" x14ac:dyDescent="0.2">
      <c r="A171" s="34">
        <v>3.5500000000000004E-2</v>
      </c>
      <c r="B171" s="5">
        <f t="shared" si="2"/>
        <v>14.166666666666698</v>
      </c>
      <c r="D171" s="32"/>
      <c r="E171" s="33"/>
    </row>
    <row r="172" spans="1:5" x14ac:dyDescent="0.2">
      <c r="A172" s="34">
        <v>3.5500000000000004E-2</v>
      </c>
      <c r="B172" s="5">
        <f t="shared" si="2"/>
        <v>14.250000000000032</v>
      </c>
      <c r="D172" s="32"/>
      <c r="E172" s="33"/>
    </row>
    <row r="173" spans="1:5" x14ac:dyDescent="0.2">
      <c r="A173" s="34">
        <v>3.5500000000000004E-2</v>
      </c>
      <c r="B173" s="5">
        <f t="shared" si="2"/>
        <v>14.333333333333366</v>
      </c>
      <c r="D173" s="32"/>
      <c r="E173" s="33"/>
    </row>
    <row r="174" spans="1:5" x14ac:dyDescent="0.2">
      <c r="A174" s="34">
        <v>3.5500000000000004E-2</v>
      </c>
      <c r="B174" s="5">
        <f t="shared" si="2"/>
        <v>14.4166666666667</v>
      </c>
      <c r="D174" s="32"/>
      <c r="E174" s="33"/>
    </row>
    <row r="175" spans="1:5" x14ac:dyDescent="0.2">
      <c r="A175" s="34">
        <v>3.5500000000000004E-2</v>
      </c>
      <c r="B175" s="5">
        <f t="shared" si="2"/>
        <v>14.500000000000034</v>
      </c>
      <c r="D175" s="32"/>
      <c r="E175" s="33"/>
    </row>
    <row r="176" spans="1:5" x14ac:dyDescent="0.2">
      <c r="A176" s="34">
        <v>3.5500000000000004E-2</v>
      </c>
      <c r="B176" s="5">
        <f t="shared" si="2"/>
        <v>14.583333333333368</v>
      </c>
      <c r="D176" s="32"/>
      <c r="E176" s="33"/>
    </row>
    <row r="177" spans="1:5" x14ac:dyDescent="0.2">
      <c r="A177" s="34">
        <v>3.5500000000000004E-2</v>
      </c>
      <c r="B177" s="5">
        <f t="shared" si="2"/>
        <v>14.666666666666702</v>
      </c>
      <c r="D177" s="32"/>
      <c r="E177" s="33"/>
    </row>
    <row r="178" spans="1:5" x14ac:dyDescent="0.2">
      <c r="A178" s="34">
        <v>3.5500000000000004E-2</v>
      </c>
      <c r="B178" s="5">
        <f t="shared" si="2"/>
        <v>14.750000000000036</v>
      </c>
      <c r="D178" s="32"/>
      <c r="E178" s="33"/>
    </row>
    <row r="179" spans="1:5" x14ac:dyDescent="0.2">
      <c r="A179" s="34">
        <v>3.5500000000000004E-2</v>
      </c>
      <c r="B179" s="5">
        <f t="shared" si="2"/>
        <v>14.833333333333369</v>
      </c>
      <c r="D179" s="32"/>
      <c r="E179" s="33"/>
    </row>
    <row r="180" spans="1:5" x14ac:dyDescent="0.2">
      <c r="A180" s="34">
        <v>3.5500000000000004E-2</v>
      </c>
      <c r="B180" s="5">
        <f t="shared" si="2"/>
        <v>14.916666666666703</v>
      </c>
      <c r="D180" s="32"/>
      <c r="E180" s="33"/>
    </row>
    <row r="181" spans="1:5" x14ac:dyDescent="0.2">
      <c r="A181" s="34">
        <v>3.5500000000000004E-2</v>
      </c>
      <c r="B181" s="5">
        <f t="shared" si="2"/>
        <v>15.000000000000037</v>
      </c>
      <c r="D181" s="32"/>
      <c r="E181" s="33"/>
    </row>
    <row r="182" spans="1:5" x14ac:dyDescent="0.2">
      <c r="A182" s="34">
        <v>3.5500000000000004E-2</v>
      </c>
      <c r="B182" s="5">
        <f t="shared" si="2"/>
        <v>15.083333333333371</v>
      </c>
      <c r="D182" s="32"/>
      <c r="E182" s="33"/>
    </row>
    <row r="183" spans="1:5" x14ac:dyDescent="0.2">
      <c r="A183" s="34">
        <v>3.5500000000000004E-2</v>
      </c>
      <c r="B183" s="5">
        <f t="shared" si="2"/>
        <v>15.166666666666705</v>
      </c>
      <c r="D183" s="32"/>
      <c r="E183" s="33"/>
    </row>
    <row r="184" spans="1:5" x14ac:dyDescent="0.2">
      <c r="A184" s="34">
        <v>3.5500000000000004E-2</v>
      </c>
      <c r="B184" s="5">
        <f t="shared" si="2"/>
        <v>15.250000000000039</v>
      </c>
      <c r="D184" s="32"/>
      <c r="E184" s="33"/>
    </row>
    <row r="185" spans="1:5" x14ac:dyDescent="0.2">
      <c r="A185" s="34">
        <v>3.5500000000000004E-2</v>
      </c>
      <c r="B185" s="5">
        <f t="shared" si="2"/>
        <v>15.333333333333373</v>
      </c>
      <c r="D185" s="32"/>
      <c r="E185" s="33"/>
    </row>
    <row r="186" spans="1:5" x14ac:dyDescent="0.2">
      <c r="A186" s="34">
        <v>3.5500000000000004E-2</v>
      </c>
      <c r="B186" s="5">
        <f t="shared" si="2"/>
        <v>15.416666666666707</v>
      </c>
      <c r="D186" s="32"/>
      <c r="E186" s="33"/>
    </row>
    <row r="187" spans="1:5" x14ac:dyDescent="0.2">
      <c r="A187" s="34">
        <v>3.5500000000000004E-2</v>
      </c>
      <c r="B187" s="5">
        <f t="shared" si="2"/>
        <v>15.500000000000041</v>
      </c>
      <c r="D187" s="32"/>
      <c r="E187" s="33"/>
    </row>
    <row r="188" spans="1:5" x14ac:dyDescent="0.2">
      <c r="A188" s="34">
        <v>3.5500000000000004E-2</v>
      </c>
      <c r="B188" s="5">
        <f t="shared" si="2"/>
        <v>15.583333333333375</v>
      </c>
      <c r="D188" s="32"/>
      <c r="E188" s="33"/>
    </row>
    <row r="189" spans="1:5" x14ac:dyDescent="0.2">
      <c r="A189" s="34">
        <v>3.5500000000000004E-2</v>
      </c>
      <c r="B189" s="5">
        <f t="shared" si="2"/>
        <v>15.666666666666709</v>
      </c>
      <c r="D189" s="32"/>
      <c r="E189" s="33"/>
    </row>
    <row r="190" spans="1:5" x14ac:dyDescent="0.2">
      <c r="A190" s="34">
        <v>3.5500000000000004E-2</v>
      </c>
      <c r="B190" s="5">
        <f t="shared" si="2"/>
        <v>15.750000000000043</v>
      </c>
      <c r="D190" s="32"/>
      <c r="E190" s="33"/>
    </row>
    <row r="191" spans="1:5" x14ac:dyDescent="0.2">
      <c r="A191" s="34">
        <v>3.5500000000000004E-2</v>
      </c>
      <c r="B191" s="5">
        <f t="shared" si="2"/>
        <v>15.833333333333377</v>
      </c>
      <c r="D191" s="32"/>
      <c r="E191" s="33"/>
    </row>
    <row r="192" spans="1:5" x14ac:dyDescent="0.2">
      <c r="A192" s="34">
        <v>3.5500000000000004E-2</v>
      </c>
      <c r="B192" s="5">
        <f t="shared" si="2"/>
        <v>15.91666666666671</v>
      </c>
      <c r="D192" s="32"/>
      <c r="E192" s="33"/>
    </row>
    <row r="193" spans="1:5" x14ac:dyDescent="0.2">
      <c r="A193" s="34">
        <v>3.5500000000000004E-2</v>
      </c>
      <c r="B193" s="5">
        <f t="shared" si="2"/>
        <v>16.000000000000043</v>
      </c>
      <c r="D193" s="32"/>
      <c r="E193" s="33"/>
    </row>
    <row r="194" spans="1:5" x14ac:dyDescent="0.2">
      <c r="A194" s="34">
        <v>3.5500000000000004E-2</v>
      </c>
      <c r="B194" s="5">
        <f t="shared" si="2"/>
        <v>16.083333333333375</v>
      </c>
      <c r="D194" s="32"/>
      <c r="E194" s="33"/>
    </row>
    <row r="195" spans="1:5" x14ac:dyDescent="0.2">
      <c r="A195" s="34">
        <v>3.5500000000000004E-2</v>
      </c>
      <c r="B195" s="5">
        <f t="shared" si="2"/>
        <v>16.166666666666707</v>
      </c>
      <c r="D195" s="32"/>
      <c r="E195" s="33"/>
    </row>
    <row r="196" spans="1:5" x14ac:dyDescent="0.2">
      <c r="A196" s="34">
        <v>3.5500000000000004E-2</v>
      </c>
      <c r="B196" s="5">
        <f t="shared" ref="B196:B259" si="3">B195+1/12</f>
        <v>16.250000000000039</v>
      </c>
      <c r="D196" s="32"/>
      <c r="E196" s="33"/>
    </row>
    <row r="197" spans="1:5" x14ac:dyDescent="0.2">
      <c r="A197" s="34">
        <v>3.5500000000000004E-2</v>
      </c>
      <c r="B197" s="5">
        <f t="shared" si="3"/>
        <v>16.333333333333371</v>
      </c>
      <c r="D197" s="32"/>
      <c r="E197" s="33"/>
    </row>
    <row r="198" spans="1:5" x14ac:dyDescent="0.2">
      <c r="A198" s="34">
        <v>3.5500000000000004E-2</v>
      </c>
      <c r="B198" s="5">
        <f t="shared" si="3"/>
        <v>16.416666666666703</v>
      </c>
      <c r="D198" s="32"/>
      <c r="E198" s="33"/>
    </row>
    <row r="199" spans="1:5" x14ac:dyDescent="0.2">
      <c r="A199" s="34">
        <v>3.5500000000000004E-2</v>
      </c>
      <c r="B199" s="5">
        <f t="shared" si="3"/>
        <v>16.500000000000036</v>
      </c>
      <c r="D199" s="32"/>
      <c r="E199" s="33"/>
    </row>
    <row r="200" spans="1:5" x14ac:dyDescent="0.2">
      <c r="A200" s="34">
        <v>3.5500000000000004E-2</v>
      </c>
      <c r="B200" s="5">
        <f t="shared" si="3"/>
        <v>16.583333333333368</v>
      </c>
      <c r="D200" s="32"/>
      <c r="E200" s="33"/>
    </row>
    <row r="201" spans="1:5" x14ac:dyDescent="0.2">
      <c r="A201" s="34">
        <v>3.5500000000000004E-2</v>
      </c>
      <c r="B201" s="5">
        <f t="shared" si="3"/>
        <v>16.6666666666667</v>
      </c>
      <c r="D201" s="32"/>
      <c r="E201" s="33"/>
    </row>
    <row r="202" spans="1:5" x14ac:dyDescent="0.2">
      <c r="A202" s="34">
        <v>3.5500000000000004E-2</v>
      </c>
      <c r="B202" s="5">
        <f t="shared" si="3"/>
        <v>16.750000000000032</v>
      </c>
      <c r="D202" s="32"/>
      <c r="E202" s="33"/>
    </row>
    <row r="203" spans="1:5" x14ac:dyDescent="0.2">
      <c r="A203" s="34">
        <v>3.5500000000000004E-2</v>
      </c>
      <c r="B203" s="5">
        <f t="shared" si="3"/>
        <v>16.833333333333364</v>
      </c>
      <c r="D203" s="32"/>
      <c r="E203" s="33"/>
    </row>
    <row r="204" spans="1:5" x14ac:dyDescent="0.2">
      <c r="A204" s="34">
        <v>3.5500000000000004E-2</v>
      </c>
      <c r="B204" s="5">
        <f t="shared" si="3"/>
        <v>16.916666666666696</v>
      </c>
      <c r="D204" s="32"/>
      <c r="E204" s="33"/>
    </row>
    <row r="205" spans="1:5" x14ac:dyDescent="0.2">
      <c r="A205" s="34">
        <v>3.5500000000000004E-2</v>
      </c>
      <c r="B205" s="5">
        <f t="shared" si="3"/>
        <v>17.000000000000028</v>
      </c>
      <c r="D205" s="32"/>
      <c r="E205" s="33"/>
    </row>
    <row r="206" spans="1:5" x14ac:dyDescent="0.2">
      <c r="A206" s="34">
        <v>3.5500000000000004E-2</v>
      </c>
      <c r="B206" s="5">
        <f t="shared" si="3"/>
        <v>17.083333333333361</v>
      </c>
      <c r="D206" s="32"/>
      <c r="E206" s="33"/>
    </row>
    <row r="207" spans="1:5" x14ac:dyDescent="0.2">
      <c r="A207" s="34">
        <v>3.5500000000000004E-2</v>
      </c>
      <c r="B207" s="5">
        <f t="shared" si="3"/>
        <v>17.166666666666693</v>
      </c>
      <c r="D207" s="32"/>
      <c r="E207" s="33"/>
    </row>
    <row r="208" spans="1:5" x14ac:dyDescent="0.2">
      <c r="A208" s="34">
        <v>3.5500000000000004E-2</v>
      </c>
      <c r="B208" s="5">
        <f t="shared" si="3"/>
        <v>17.250000000000025</v>
      </c>
      <c r="D208" s="32"/>
      <c r="E208" s="33"/>
    </row>
    <row r="209" spans="1:5" x14ac:dyDescent="0.2">
      <c r="A209" s="34">
        <v>3.5500000000000004E-2</v>
      </c>
      <c r="B209" s="5">
        <f t="shared" si="3"/>
        <v>17.333333333333357</v>
      </c>
      <c r="D209" s="32"/>
      <c r="E209" s="33"/>
    </row>
    <row r="210" spans="1:5" x14ac:dyDescent="0.2">
      <c r="A210" s="34">
        <v>3.5500000000000004E-2</v>
      </c>
      <c r="B210" s="5">
        <f t="shared" si="3"/>
        <v>17.416666666666689</v>
      </c>
      <c r="D210" s="32"/>
      <c r="E210" s="33"/>
    </row>
    <row r="211" spans="1:5" x14ac:dyDescent="0.2">
      <c r="A211" s="34">
        <v>3.5500000000000004E-2</v>
      </c>
      <c r="B211" s="5">
        <f t="shared" si="3"/>
        <v>17.500000000000021</v>
      </c>
      <c r="D211" s="32"/>
      <c r="E211" s="33"/>
    </row>
    <row r="212" spans="1:5" x14ac:dyDescent="0.2">
      <c r="A212" s="34">
        <v>3.5500000000000004E-2</v>
      </c>
      <c r="B212" s="5">
        <f t="shared" si="3"/>
        <v>17.583333333333353</v>
      </c>
      <c r="D212" s="32"/>
      <c r="E212" s="33"/>
    </row>
    <row r="213" spans="1:5" x14ac:dyDescent="0.2">
      <c r="A213" s="34">
        <v>3.5500000000000004E-2</v>
      </c>
      <c r="B213" s="5">
        <f t="shared" si="3"/>
        <v>17.666666666666686</v>
      </c>
      <c r="D213" s="32"/>
      <c r="E213" s="33"/>
    </row>
    <row r="214" spans="1:5" x14ac:dyDescent="0.2">
      <c r="A214" s="34">
        <v>3.5500000000000004E-2</v>
      </c>
      <c r="B214" s="5">
        <f t="shared" si="3"/>
        <v>17.750000000000018</v>
      </c>
      <c r="D214" s="32"/>
      <c r="E214" s="33"/>
    </row>
    <row r="215" spans="1:5" x14ac:dyDescent="0.2">
      <c r="A215" s="34">
        <v>3.5500000000000004E-2</v>
      </c>
      <c r="B215" s="5">
        <f t="shared" si="3"/>
        <v>17.83333333333335</v>
      </c>
      <c r="D215" s="32"/>
      <c r="E215" s="33"/>
    </row>
    <row r="216" spans="1:5" x14ac:dyDescent="0.2">
      <c r="A216" s="34">
        <v>3.5500000000000004E-2</v>
      </c>
      <c r="B216" s="5">
        <f t="shared" si="3"/>
        <v>17.916666666666682</v>
      </c>
      <c r="D216" s="32"/>
      <c r="E216" s="33"/>
    </row>
    <row r="217" spans="1:5" x14ac:dyDescent="0.2">
      <c r="A217" s="34">
        <v>3.5500000000000004E-2</v>
      </c>
      <c r="B217" s="5">
        <f t="shared" si="3"/>
        <v>18.000000000000014</v>
      </c>
      <c r="D217" s="32"/>
      <c r="E217" s="33"/>
    </row>
    <row r="218" spans="1:5" x14ac:dyDescent="0.2">
      <c r="A218" s="34">
        <v>3.5500000000000004E-2</v>
      </c>
      <c r="B218" s="5">
        <f t="shared" si="3"/>
        <v>18.083333333333346</v>
      </c>
      <c r="D218" s="32"/>
      <c r="E218" s="33"/>
    </row>
    <row r="219" spans="1:5" x14ac:dyDescent="0.2">
      <c r="A219" s="34">
        <v>3.5500000000000004E-2</v>
      </c>
      <c r="B219" s="5">
        <f t="shared" si="3"/>
        <v>18.166666666666679</v>
      </c>
      <c r="D219" s="32"/>
      <c r="E219" s="33"/>
    </row>
    <row r="220" spans="1:5" x14ac:dyDescent="0.2">
      <c r="A220" s="34">
        <v>3.5500000000000004E-2</v>
      </c>
      <c r="B220" s="5">
        <f t="shared" si="3"/>
        <v>18.250000000000011</v>
      </c>
      <c r="D220" s="32"/>
      <c r="E220" s="33"/>
    </row>
    <row r="221" spans="1:5" x14ac:dyDescent="0.2">
      <c r="A221" s="34">
        <v>3.5500000000000004E-2</v>
      </c>
      <c r="B221" s="5">
        <f t="shared" si="3"/>
        <v>18.333333333333343</v>
      </c>
      <c r="D221" s="32"/>
      <c r="E221" s="33"/>
    </row>
    <row r="222" spans="1:5" x14ac:dyDescent="0.2">
      <c r="A222" s="34">
        <v>3.5500000000000004E-2</v>
      </c>
      <c r="B222" s="5">
        <f t="shared" si="3"/>
        <v>18.416666666666675</v>
      </c>
      <c r="D222" s="32"/>
      <c r="E222" s="33"/>
    </row>
    <row r="223" spans="1:5" x14ac:dyDescent="0.2">
      <c r="A223" s="34">
        <v>3.5500000000000004E-2</v>
      </c>
      <c r="B223" s="5">
        <f t="shared" si="3"/>
        <v>18.500000000000007</v>
      </c>
      <c r="D223" s="32"/>
      <c r="E223" s="33"/>
    </row>
    <row r="224" spans="1:5" x14ac:dyDescent="0.2">
      <c r="A224" s="34">
        <v>3.5500000000000004E-2</v>
      </c>
      <c r="B224" s="5">
        <f t="shared" si="3"/>
        <v>18.583333333333339</v>
      </c>
      <c r="D224" s="32"/>
      <c r="E224" s="33"/>
    </row>
    <row r="225" spans="1:5" x14ac:dyDescent="0.2">
      <c r="A225" s="34">
        <v>3.5500000000000004E-2</v>
      </c>
      <c r="B225" s="5">
        <f t="shared" si="3"/>
        <v>18.666666666666671</v>
      </c>
      <c r="D225" s="32"/>
      <c r="E225" s="33"/>
    </row>
    <row r="226" spans="1:5" x14ac:dyDescent="0.2">
      <c r="A226" s="34">
        <v>3.5500000000000004E-2</v>
      </c>
      <c r="B226" s="5">
        <f t="shared" si="3"/>
        <v>18.750000000000004</v>
      </c>
      <c r="D226" s="32"/>
      <c r="E226" s="33"/>
    </row>
    <row r="227" spans="1:5" x14ac:dyDescent="0.2">
      <c r="A227" s="34">
        <v>3.5500000000000004E-2</v>
      </c>
      <c r="B227" s="5">
        <f t="shared" si="3"/>
        <v>18.833333333333336</v>
      </c>
      <c r="D227" s="32"/>
      <c r="E227" s="33"/>
    </row>
    <row r="228" spans="1:5" x14ac:dyDescent="0.2">
      <c r="A228" s="34">
        <v>3.5500000000000004E-2</v>
      </c>
      <c r="B228" s="5">
        <f t="shared" si="3"/>
        <v>18.916666666666668</v>
      </c>
      <c r="D228" s="32"/>
      <c r="E228" s="33"/>
    </row>
    <row r="229" spans="1:5" x14ac:dyDescent="0.2">
      <c r="A229" s="34">
        <v>3.5500000000000004E-2</v>
      </c>
      <c r="B229" s="5">
        <f t="shared" si="3"/>
        <v>19</v>
      </c>
      <c r="D229" s="32"/>
      <c r="E229" s="33"/>
    </row>
    <row r="230" spans="1:5" x14ac:dyDescent="0.2">
      <c r="A230" s="34">
        <v>3.5500000000000004E-2</v>
      </c>
      <c r="B230" s="5">
        <f t="shared" si="3"/>
        <v>19.083333333333332</v>
      </c>
      <c r="D230" s="32"/>
      <c r="E230" s="33"/>
    </row>
    <row r="231" spans="1:5" x14ac:dyDescent="0.2">
      <c r="A231" s="34">
        <v>3.5500000000000004E-2</v>
      </c>
      <c r="B231" s="5">
        <f t="shared" si="3"/>
        <v>19.166666666666664</v>
      </c>
      <c r="D231" s="32"/>
      <c r="E231" s="33"/>
    </row>
    <row r="232" spans="1:5" x14ac:dyDescent="0.2">
      <c r="A232" s="34">
        <v>3.5500000000000004E-2</v>
      </c>
      <c r="B232" s="5">
        <f t="shared" si="3"/>
        <v>19.249999999999996</v>
      </c>
      <c r="D232" s="32"/>
      <c r="E232" s="33"/>
    </row>
    <row r="233" spans="1:5" x14ac:dyDescent="0.2">
      <c r="A233" s="34">
        <v>3.5500000000000004E-2</v>
      </c>
      <c r="B233" s="5">
        <f t="shared" si="3"/>
        <v>19.333333333333329</v>
      </c>
      <c r="D233" s="32"/>
      <c r="E233" s="33"/>
    </row>
    <row r="234" spans="1:5" x14ac:dyDescent="0.2">
      <c r="A234" s="34">
        <v>3.5500000000000004E-2</v>
      </c>
      <c r="B234" s="5">
        <f t="shared" si="3"/>
        <v>19.416666666666661</v>
      </c>
      <c r="D234" s="32"/>
      <c r="E234" s="33"/>
    </row>
    <row r="235" spans="1:5" x14ac:dyDescent="0.2">
      <c r="A235" s="34">
        <v>3.5500000000000004E-2</v>
      </c>
      <c r="B235" s="5">
        <f t="shared" si="3"/>
        <v>19.499999999999993</v>
      </c>
      <c r="D235" s="32"/>
      <c r="E235" s="33"/>
    </row>
    <row r="236" spans="1:5" x14ac:dyDescent="0.2">
      <c r="A236" s="34">
        <v>3.5500000000000004E-2</v>
      </c>
      <c r="B236" s="5">
        <f t="shared" si="3"/>
        <v>19.583333333333325</v>
      </c>
      <c r="D236" s="32"/>
      <c r="E236" s="33"/>
    </row>
    <row r="237" spans="1:5" x14ac:dyDescent="0.2">
      <c r="A237" s="34">
        <v>3.5500000000000004E-2</v>
      </c>
      <c r="B237" s="5">
        <f t="shared" si="3"/>
        <v>19.666666666666657</v>
      </c>
      <c r="D237" s="32"/>
      <c r="E237" s="33"/>
    </row>
    <row r="238" spans="1:5" x14ac:dyDescent="0.2">
      <c r="A238" s="34">
        <v>3.5500000000000004E-2</v>
      </c>
      <c r="B238" s="5">
        <f t="shared" si="3"/>
        <v>19.749999999999989</v>
      </c>
      <c r="D238" s="32"/>
      <c r="E238" s="33"/>
    </row>
    <row r="239" spans="1:5" x14ac:dyDescent="0.2">
      <c r="A239" s="34">
        <v>3.5500000000000004E-2</v>
      </c>
      <c r="B239" s="5">
        <f t="shared" si="3"/>
        <v>19.833333333333321</v>
      </c>
      <c r="D239" s="32"/>
      <c r="E239" s="33"/>
    </row>
    <row r="240" spans="1:5" x14ac:dyDescent="0.2">
      <c r="A240" s="34">
        <v>3.5500000000000004E-2</v>
      </c>
      <c r="B240" s="5">
        <f t="shared" si="3"/>
        <v>19.916666666666654</v>
      </c>
      <c r="D240" s="32"/>
      <c r="E240" s="33"/>
    </row>
    <row r="241" spans="1:5" x14ac:dyDescent="0.2">
      <c r="A241" s="34">
        <v>3.5500000000000004E-2</v>
      </c>
      <c r="B241" s="5">
        <f t="shared" si="3"/>
        <v>19.999999999999986</v>
      </c>
      <c r="D241" s="32"/>
      <c r="E241" s="33"/>
    </row>
    <row r="242" spans="1:5" x14ac:dyDescent="0.2">
      <c r="A242" s="34">
        <v>3.5500000000000004E-2</v>
      </c>
      <c r="B242" s="5">
        <f t="shared" si="3"/>
        <v>20.083333333333318</v>
      </c>
      <c r="D242" s="32"/>
      <c r="E242" s="33"/>
    </row>
    <row r="243" spans="1:5" x14ac:dyDescent="0.2">
      <c r="A243" s="34">
        <v>3.5500000000000004E-2</v>
      </c>
      <c r="B243" s="5">
        <f t="shared" si="3"/>
        <v>20.16666666666665</v>
      </c>
      <c r="D243" s="32"/>
      <c r="E243" s="33"/>
    </row>
    <row r="244" spans="1:5" x14ac:dyDescent="0.2">
      <c r="A244" s="34">
        <v>3.5500000000000004E-2</v>
      </c>
      <c r="B244" s="5">
        <f t="shared" si="3"/>
        <v>20.249999999999982</v>
      </c>
      <c r="D244" s="32"/>
      <c r="E244" s="33"/>
    </row>
    <row r="245" spans="1:5" x14ac:dyDescent="0.2">
      <c r="A245" s="34">
        <v>3.5500000000000004E-2</v>
      </c>
      <c r="B245" s="5">
        <f t="shared" si="3"/>
        <v>20.333333333333314</v>
      </c>
      <c r="D245" s="32"/>
      <c r="E245" s="33"/>
    </row>
    <row r="246" spans="1:5" x14ac:dyDescent="0.2">
      <c r="A246" s="34">
        <v>3.5500000000000004E-2</v>
      </c>
      <c r="B246" s="5">
        <f t="shared" si="3"/>
        <v>20.416666666666647</v>
      </c>
      <c r="D246" s="32"/>
      <c r="E246" s="33"/>
    </row>
    <row r="247" spans="1:5" x14ac:dyDescent="0.2">
      <c r="A247" s="34">
        <v>3.5500000000000004E-2</v>
      </c>
      <c r="B247" s="5">
        <f t="shared" si="3"/>
        <v>20.499999999999979</v>
      </c>
      <c r="D247" s="32"/>
      <c r="E247" s="33"/>
    </row>
    <row r="248" spans="1:5" x14ac:dyDescent="0.2">
      <c r="A248" s="34">
        <v>3.5500000000000004E-2</v>
      </c>
      <c r="B248" s="5">
        <f t="shared" si="3"/>
        <v>20.583333333333311</v>
      </c>
      <c r="D248" s="32"/>
      <c r="E248" s="33"/>
    </row>
    <row r="249" spans="1:5" x14ac:dyDescent="0.2">
      <c r="A249" s="34">
        <v>3.5500000000000004E-2</v>
      </c>
      <c r="B249" s="5">
        <f t="shared" si="3"/>
        <v>20.666666666666643</v>
      </c>
      <c r="D249" s="32"/>
      <c r="E249" s="33"/>
    </row>
    <row r="250" spans="1:5" x14ac:dyDescent="0.2">
      <c r="A250" s="34">
        <v>3.5500000000000004E-2</v>
      </c>
      <c r="B250" s="5">
        <f t="shared" si="3"/>
        <v>20.749999999999975</v>
      </c>
      <c r="D250" s="32"/>
      <c r="E250" s="33"/>
    </row>
    <row r="251" spans="1:5" x14ac:dyDescent="0.2">
      <c r="A251" s="34">
        <v>3.5500000000000004E-2</v>
      </c>
      <c r="B251" s="5">
        <f t="shared" si="3"/>
        <v>20.833333333333307</v>
      </c>
      <c r="D251" s="32"/>
      <c r="E251" s="33"/>
    </row>
    <row r="252" spans="1:5" x14ac:dyDescent="0.2">
      <c r="A252" s="34">
        <v>3.5500000000000004E-2</v>
      </c>
      <c r="B252" s="5">
        <f t="shared" si="3"/>
        <v>20.916666666666639</v>
      </c>
      <c r="D252" s="32"/>
      <c r="E252" s="33"/>
    </row>
    <row r="253" spans="1:5" x14ac:dyDescent="0.2">
      <c r="A253" s="34">
        <v>3.5500000000000004E-2</v>
      </c>
      <c r="B253" s="5">
        <f t="shared" si="3"/>
        <v>20.999999999999972</v>
      </c>
      <c r="D253" s="32"/>
      <c r="E253" s="33"/>
    </row>
    <row r="254" spans="1:5" x14ac:dyDescent="0.2">
      <c r="A254" s="34">
        <v>3.5500000000000004E-2</v>
      </c>
      <c r="B254" s="5">
        <f t="shared" si="3"/>
        <v>21.083333333333304</v>
      </c>
      <c r="D254" s="32"/>
      <c r="E254" s="33"/>
    </row>
    <row r="255" spans="1:5" x14ac:dyDescent="0.2">
      <c r="A255" s="34">
        <v>3.5500000000000004E-2</v>
      </c>
      <c r="B255" s="5">
        <f t="shared" si="3"/>
        <v>21.166666666666636</v>
      </c>
      <c r="D255" s="32"/>
      <c r="E255" s="33"/>
    </row>
    <row r="256" spans="1:5" x14ac:dyDescent="0.2">
      <c r="A256" s="34">
        <v>3.5500000000000004E-2</v>
      </c>
      <c r="B256" s="5">
        <f t="shared" si="3"/>
        <v>21.249999999999968</v>
      </c>
      <c r="D256" s="32"/>
      <c r="E256" s="33"/>
    </row>
    <row r="257" spans="1:5" x14ac:dyDescent="0.2">
      <c r="A257" s="34">
        <v>3.5500000000000004E-2</v>
      </c>
      <c r="B257" s="5">
        <f t="shared" si="3"/>
        <v>21.3333333333333</v>
      </c>
      <c r="D257" s="32"/>
      <c r="E257" s="33"/>
    </row>
    <row r="258" spans="1:5" x14ac:dyDescent="0.2">
      <c r="A258" s="34">
        <v>3.5500000000000004E-2</v>
      </c>
      <c r="B258" s="5">
        <f t="shared" si="3"/>
        <v>21.416666666666632</v>
      </c>
      <c r="D258" s="32"/>
      <c r="E258" s="33"/>
    </row>
    <row r="259" spans="1:5" x14ac:dyDescent="0.2">
      <c r="A259" s="34">
        <v>3.5500000000000004E-2</v>
      </c>
      <c r="B259" s="5">
        <f t="shared" si="3"/>
        <v>21.499999999999964</v>
      </c>
      <c r="D259" s="32"/>
      <c r="E259" s="33"/>
    </row>
    <row r="260" spans="1:5" x14ac:dyDescent="0.2">
      <c r="A260" s="34">
        <v>3.5500000000000004E-2</v>
      </c>
      <c r="B260" s="5">
        <f t="shared" ref="B260:B323" si="4">B259+1/12</f>
        <v>21.583333333333297</v>
      </c>
      <c r="D260" s="32"/>
      <c r="E260" s="33"/>
    </row>
    <row r="261" spans="1:5" x14ac:dyDescent="0.2">
      <c r="A261" s="34">
        <v>3.5500000000000004E-2</v>
      </c>
      <c r="B261" s="5">
        <f t="shared" si="4"/>
        <v>21.666666666666629</v>
      </c>
      <c r="D261" s="32"/>
      <c r="E261" s="33"/>
    </row>
    <row r="262" spans="1:5" x14ac:dyDescent="0.2">
      <c r="A262" s="34">
        <v>3.5500000000000004E-2</v>
      </c>
      <c r="B262" s="5">
        <f t="shared" si="4"/>
        <v>21.749999999999961</v>
      </c>
      <c r="D262" s="32"/>
      <c r="E262" s="33"/>
    </row>
    <row r="263" spans="1:5" x14ac:dyDescent="0.2">
      <c r="A263" s="34">
        <v>3.5500000000000004E-2</v>
      </c>
      <c r="B263" s="5">
        <f t="shared" si="4"/>
        <v>21.833333333333293</v>
      </c>
      <c r="D263" s="32"/>
      <c r="E263" s="33"/>
    </row>
    <row r="264" spans="1:5" x14ac:dyDescent="0.2">
      <c r="A264" s="34">
        <v>3.5500000000000004E-2</v>
      </c>
      <c r="B264" s="5">
        <f t="shared" si="4"/>
        <v>21.916666666666625</v>
      </c>
      <c r="D264" s="32"/>
      <c r="E264" s="33"/>
    </row>
    <row r="265" spans="1:5" x14ac:dyDescent="0.2">
      <c r="A265" s="34">
        <v>3.5500000000000004E-2</v>
      </c>
      <c r="B265" s="5">
        <f t="shared" si="4"/>
        <v>21.999999999999957</v>
      </c>
      <c r="D265" s="32"/>
      <c r="E265" s="33"/>
    </row>
    <row r="266" spans="1:5" x14ac:dyDescent="0.2">
      <c r="A266" s="34">
        <v>3.5500000000000004E-2</v>
      </c>
      <c r="B266" s="5">
        <f t="shared" si="4"/>
        <v>22.08333333333329</v>
      </c>
      <c r="D266" s="32"/>
      <c r="E266" s="33"/>
    </row>
    <row r="267" spans="1:5" x14ac:dyDescent="0.2">
      <c r="A267" s="34">
        <v>3.5500000000000004E-2</v>
      </c>
      <c r="B267" s="5">
        <f t="shared" si="4"/>
        <v>22.166666666666622</v>
      </c>
      <c r="D267" s="32"/>
      <c r="E267" s="33"/>
    </row>
    <row r="268" spans="1:5" x14ac:dyDescent="0.2">
      <c r="A268" s="34">
        <v>3.5500000000000004E-2</v>
      </c>
      <c r="B268" s="5">
        <f t="shared" si="4"/>
        <v>22.249999999999954</v>
      </c>
      <c r="D268" s="32"/>
      <c r="E268" s="33"/>
    </row>
    <row r="269" spans="1:5" x14ac:dyDescent="0.2">
      <c r="A269" s="34">
        <v>3.5500000000000004E-2</v>
      </c>
      <c r="B269" s="5">
        <f t="shared" si="4"/>
        <v>22.333333333333286</v>
      </c>
      <c r="D269" s="32"/>
      <c r="E269" s="33"/>
    </row>
    <row r="270" spans="1:5" x14ac:dyDescent="0.2">
      <c r="A270" s="34">
        <v>3.5500000000000004E-2</v>
      </c>
      <c r="B270" s="5">
        <f t="shared" si="4"/>
        <v>22.416666666666618</v>
      </c>
      <c r="D270" s="32"/>
      <c r="E270" s="33"/>
    </row>
    <row r="271" spans="1:5" x14ac:dyDescent="0.2">
      <c r="A271" s="34">
        <v>3.5500000000000004E-2</v>
      </c>
      <c r="B271" s="5">
        <f t="shared" si="4"/>
        <v>22.49999999999995</v>
      </c>
      <c r="D271" s="32"/>
      <c r="E271" s="33"/>
    </row>
    <row r="272" spans="1:5" x14ac:dyDescent="0.2">
      <c r="A272" s="34">
        <v>3.5500000000000004E-2</v>
      </c>
      <c r="B272" s="5">
        <f t="shared" si="4"/>
        <v>22.583333333333282</v>
      </c>
      <c r="D272" s="32"/>
      <c r="E272" s="33"/>
    </row>
    <row r="273" spans="1:5" x14ac:dyDescent="0.2">
      <c r="A273" s="34">
        <v>3.5500000000000004E-2</v>
      </c>
      <c r="B273" s="5">
        <f t="shared" si="4"/>
        <v>22.666666666666615</v>
      </c>
      <c r="D273" s="32"/>
      <c r="E273" s="33"/>
    </row>
    <row r="274" spans="1:5" x14ac:dyDescent="0.2">
      <c r="A274" s="34">
        <v>3.5500000000000004E-2</v>
      </c>
      <c r="B274" s="5">
        <f t="shared" si="4"/>
        <v>22.749999999999947</v>
      </c>
      <c r="D274" s="32"/>
      <c r="E274" s="33"/>
    </row>
    <row r="275" spans="1:5" x14ac:dyDescent="0.2">
      <c r="A275" s="34">
        <v>3.5500000000000004E-2</v>
      </c>
      <c r="B275" s="5">
        <f t="shared" si="4"/>
        <v>22.833333333333279</v>
      </c>
      <c r="D275" s="32"/>
      <c r="E275" s="33"/>
    </row>
    <row r="276" spans="1:5" x14ac:dyDescent="0.2">
      <c r="A276" s="34">
        <v>3.5500000000000004E-2</v>
      </c>
      <c r="B276" s="5">
        <f t="shared" si="4"/>
        <v>22.916666666666611</v>
      </c>
      <c r="D276" s="32"/>
      <c r="E276" s="33"/>
    </row>
    <row r="277" spans="1:5" x14ac:dyDescent="0.2">
      <c r="A277" s="34">
        <v>3.5500000000000004E-2</v>
      </c>
      <c r="B277" s="5">
        <f t="shared" si="4"/>
        <v>22.999999999999943</v>
      </c>
      <c r="D277" s="32"/>
      <c r="E277" s="33"/>
    </row>
    <row r="278" spans="1:5" x14ac:dyDescent="0.2">
      <c r="A278" s="34">
        <v>3.5500000000000004E-2</v>
      </c>
      <c r="B278" s="5">
        <f t="shared" si="4"/>
        <v>23.083333333333275</v>
      </c>
      <c r="D278" s="32"/>
      <c r="E278" s="33"/>
    </row>
    <row r="279" spans="1:5" x14ac:dyDescent="0.2">
      <c r="A279" s="34">
        <v>3.5500000000000004E-2</v>
      </c>
      <c r="B279" s="5">
        <f t="shared" si="4"/>
        <v>23.166666666666607</v>
      </c>
      <c r="D279" s="32"/>
      <c r="E279" s="33"/>
    </row>
    <row r="280" spans="1:5" x14ac:dyDescent="0.2">
      <c r="A280" s="34">
        <v>3.5500000000000004E-2</v>
      </c>
      <c r="B280" s="5">
        <f t="shared" si="4"/>
        <v>23.24999999999994</v>
      </c>
      <c r="D280" s="32"/>
      <c r="E280" s="33"/>
    </row>
    <row r="281" spans="1:5" x14ac:dyDescent="0.2">
      <c r="A281" s="34">
        <v>3.5500000000000004E-2</v>
      </c>
      <c r="B281" s="5">
        <f t="shared" si="4"/>
        <v>23.333333333333272</v>
      </c>
      <c r="D281" s="32"/>
      <c r="E281" s="33"/>
    </row>
    <row r="282" spans="1:5" x14ac:dyDescent="0.2">
      <c r="A282" s="34">
        <v>3.5500000000000004E-2</v>
      </c>
      <c r="B282" s="5">
        <f t="shared" si="4"/>
        <v>23.416666666666604</v>
      </c>
      <c r="D282" s="32"/>
      <c r="E282" s="33"/>
    </row>
    <row r="283" spans="1:5" x14ac:dyDescent="0.2">
      <c r="A283" s="34">
        <v>3.5500000000000004E-2</v>
      </c>
      <c r="B283" s="5">
        <f t="shared" si="4"/>
        <v>23.499999999999936</v>
      </c>
      <c r="D283" s="32"/>
      <c r="E283" s="33"/>
    </row>
    <row r="284" spans="1:5" x14ac:dyDescent="0.2">
      <c r="A284" s="34">
        <v>3.5500000000000004E-2</v>
      </c>
      <c r="B284" s="5">
        <f t="shared" si="4"/>
        <v>23.583333333333268</v>
      </c>
      <c r="D284" s="32"/>
      <c r="E284" s="33"/>
    </row>
    <row r="285" spans="1:5" x14ac:dyDescent="0.2">
      <c r="A285" s="34">
        <v>3.5500000000000004E-2</v>
      </c>
      <c r="B285" s="5">
        <f t="shared" si="4"/>
        <v>23.6666666666666</v>
      </c>
      <c r="D285" s="32"/>
      <c r="E285" s="33"/>
    </row>
    <row r="286" spans="1:5" x14ac:dyDescent="0.2">
      <c r="A286" s="34">
        <v>3.5500000000000004E-2</v>
      </c>
      <c r="B286" s="5">
        <f t="shared" si="4"/>
        <v>23.749999999999932</v>
      </c>
      <c r="D286" s="32"/>
      <c r="E286" s="33"/>
    </row>
    <row r="287" spans="1:5" x14ac:dyDescent="0.2">
      <c r="A287" s="34">
        <v>3.5500000000000004E-2</v>
      </c>
      <c r="B287" s="5">
        <f t="shared" si="4"/>
        <v>23.833333333333265</v>
      </c>
      <c r="D287" s="32"/>
      <c r="E287" s="33"/>
    </row>
    <row r="288" spans="1:5" x14ac:dyDescent="0.2">
      <c r="A288" s="34">
        <v>3.5500000000000004E-2</v>
      </c>
      <c r="B288" s="5">
        <f t="shared" si="4"/>
        <v>23.916666666666597</v>
      </c>
      <c r="D288" s="32"/>
      <c r="E288" s="33"/>
    </row>
    <row r="289" spans="1:5" x14ac:dyDescent="0.2">
      <c r="A289" s="34">
        <v>3.5500000000000004E-2</v>
      </c>
      <c r="B289" s="5">
        <f t="shared" si="4"/>
        <v>23.999999999999929</v>
      </c>
      <c r="D289" s="32"/>
      <c r="E289" s="33"/>
    </row>
    <row r="290" spans="1:5" x14ac:dyDescent="0.2">
      <c r="A290" s="34">
        <v>3.5500000000000004E-2</v>
      </c>
      <c r="B290" s="5">
        <f t="shared" si="4"/>
        <v>24.083333333333261</v>
      </c>
      <c r="D290" s="32"/>
      <c r="E290" s="33"/>
    </row>
    <row r="291" spans="1:5" x14ac:dyDescent="0.2">
      <c r="A291" s="34">
        <v>3.5500000000000004E-2</v>
      </c>
      <c r="B291" s="5">
        <f t="shared" si="4"/>
        <v>24.166666666666593</v>
      </c>
      <c r="D291" s="32"/>
      <c r="E291" s="33"/>
    </row>
    <row r="292" spans="1:5" x14ac:dyDescent="0.2">
      <c r="A292" s="34">
        <v>3.5500000000000004E-2</v>
      </c>
      <c r="B292" s="5">
        <f t="shared" si="4"/>
        <v>24.249999999999925</v>
      </c>
      <c r="D292" s="32"/>
      <c r="E292" s="33"/>
    </row>
    <row r="293" spans="1:5" x14ac:dyDescent="0.2">
      <c r="A293" s="34">
        <v>3.5500000000000004E-2</v>
      </c>
      <c r="B293" s="5">
        <f t="shared" si="4"/>
        <v>24.333333333333258</v>
      </c>
      <c r="D293" s="32"/>
      <c r="E293" s="33"/>
    </row>
    <row r="294" spans="1:5" x14ac:dyDescent="0.2">
      <c r="A294" s="34">
        <v>3.5500000000000004E-2</v>
      </c>
      <c r="B294" s="5">
        <f t="shared" si="4"/>
        <v>24.41666666666659</v>
      </c>
      <c r="D294" s="32"/>
      <c r="E294" s="33"/>
    </row>
    <row r="295" spans="1:5" x14ac:dyDescent="0.2">
      <c r="A295" s="34">
        <v>3.5500000000000004E-2</v>
      </c>
      <c r="B295" s="5">
        <f t="shared" si="4"/>
        <v>24.499999999999922</v>
      </c>
      <c r="D295" s="32"/>
      <c r="E295" s="33"/>
    </row>
    <row r="296" spans="1:5" x14ac:dyDescent="0.2">
      <c r="A296" s="34">
        <v>3.5500000000000004E-2</v>
      </c>
      <c r="B296" s="5">
        <f t="shared" si="4"/>
        <v>24.583333333333254</v>
      </c>
      <c r="D296" s="32"/>
      <c r="E296" s="33"/>
    </row>
    <row r="297" spans="1:5" x14ac:dyDescent="0.2">
      <c r="A297" s="34">
        <v>3.5500000000000004E-2</v>
      </c>
      <c r="B297" s="5">
        <f t="shared" si="4"/>
        <v>24.666666666666586</v>
      </c>
      <c r="D297" s="32"/>
      <c r="E297" s="33"/>
    </row>
    <row r="298" spans="1:5" x14ac:dyDescent="0.2">
      <c r="A298" s="34">
        <v>3.5500000000000004E-2</v>
      </c>
      <c r="B298" s="5">
        <f t="shared" si="4"/>
        <v>24.749999999999918</v>
      </c>
      <c r="D298" s="32"/>
      <c r="E298" s="33"/>
    </row>
    <row r="299" spans="1:5" x14ac:dyDescent="0.2">
      <c r="A299" s="34">
        <v>3.5500000000000004E-2</v>
      </c>
      <c r="B299" s="5">
        <f t="shared" si="4"/>
        <v>24.83333333333325</v>
      </c>
      <c r="D299" s="32"/>
      <c r="E299" s="33"/>
    </row>
    <row r="300" spans="1:5" x14ac:dyDescent="0.2">
      <c r="A300" s="34">
        <v>3.5500000000000004E-2</v>
      </c>
      <c r="B300" s="5">
        <f t="shared" si="4"/>
        <v>24.916666666666583</v>
      </c>
      <c r="D300" s="32"/>
      <c r="E300" s="33"/>
    </row>
    <row r="301" spans="1:5" x14ac:dyDescent="0.2">
      <c r="A301" s="34">
        <v>3.5500000000000004E-2</v>
      </c>
      <c r="B301" s="5">
        <f t="shared" si="4"/>
        <v>24.999999999999915</v>
      </c>
      <c r="D301" s="32"/>
      <c r="E301" s="33"/>
    </row>
    <row r="302" spans="1:5" x14ac:dyDescent="0.2">
      <c r="A302" s="34">
        <v>3.5500000000000004E-2</v>
      </c>
      <c r="B302" s="5">
        <f t="shared" si="4"/>
        <v>25.083333333333247</v>
      </c>
      <c r="D302" s="32"/>
      <c r="E302" s="33"/>
    </row>
    <row r="303" spans="1:5" x14ac:dyDescent="0.2">
      <c r="A303" s="34">
        <v>3.5500000000000004E-2</v>
      </c>
      <c r="B303" s="5">
        <f t="shared" si="4"/>
        <v>25.166666666666579</v>
      </c>
      <c r="D303" s="32"/>
      <c r="E303" s="33"/>
    </row>
    <row r="304" spans="1:5" x14ac:dyDescent="0.2">
      <c r="A304" s="34">
        <v>3.5500000000000004E-2</v>
      </c>
      <c r="B304" s="5">
        <f t="shared" si="4"/>
        <v>25.249999999999911</v>
      </c>
      <c r="D304" s="32"/>
      <c r="E304" s="33"/>
    </row>
    <row r="305" spans="1:5" x14ac:dyDescent="0.2">
      <c r="A305" s="34">
        <v>3.5500000000000004E-2</v>
      </c>
      <c r="B305" s="5">
        <f t="shared" si="4"/>
        <v>25.333333333333243</v>
      </c>
      <c r="D305" s="32"/>
      <c r="E305" s="33"/>
    </row>
    <row r="306" spans="1:5" x14ac:dyDescent="0.2">
      <c r="A306" s="34">
        <v>3.5500000000000004E-2</v>
      </c>
      <c r="B306" s="5">
        <f t="shared" si="4"/>
        <v>25.416666666666575</v>
      </c>
      <c r="D306" s="32"/>
      <c r="E306" s="33"/>
    </row>
    <row r="307" spans="1:5" x14ac:dyDescent="0.2">
      <c r="A307" s="34">
        <v>3.5500000000000004E-2</v>
      </c>
      <c r="B307" s="5">
        <f t="shared" si="4"/>
        <v>25.499999999999908</v>
      </c>
      <c r="D307" s="32"/>
      <c r="E307" s="33"/>
    </row>
    <row r="308" spans="1:5" x14ac:dyDescent="0.2">
      <c r="A308" s="34">
        <v>3.5500000000000004E-2</v>
      </c>
      <c r="B308" s="5">
        <f t="shared" si="4"/>
        <v>25.58333333333324</v>
      </c>
      <c r="D308" s="32"/>
      <c r="E308" s="33"/>
    </row>
    <row r="309" spans="1:5" x14ac:dyDescent="0.2">
      <c r="A309" s="34">
        <v>3.5500000000000004E-2</v>
      </c>
      <c r="B309" s="5">
        <f t="shared" si="4"/>
        <v>25.666666666666572</v>
      </c>
      <c r="D309" s="32"/>
      <c r="E309" s="33"/>
    </row>
    <row r="310" spans="1:5" x14ac:dyDescent="0.2">
      <c r="A310" s="34">
        <v>3.5500000000000004E-2</v>
      </c>
      <c r="B310" s="5">
        <f t="shared" si="4"/>
        <v>25.749999999999904</v>
      </c>
      <c r="D310" s="32"/>
      <c r="E310" s="33"/>
    </row>
    <row r="311" spans="1:5" x14ac:dyDescent="0.2">
      <c r="A311" s="34">
        <v>3.5500000000000004E-2</v>
      </c>
      <c r="B311" s="5">
        <f t="shared" si="4"/>
        <v>25.833333333333236</v>
      </c>
      <c r="D311" s="32"/>
      <c r="E311" s="33"/>
    </row>
    <row r="312" spans="1:5" x14ac:dyDescent="0.2">
      <c r="A312" s="34">
        <v>3.5500000000000004E-2</v>
      </c>
      <c r="B312" s="5">
        <f t="shared" si="4"/>
        <v>25.916666666666568</v>
      </c>
      <c r="D312" s="32"/>
      <c r="E312" s="33"/>
    </row>
    <row r="313" spans="1:5" x14ac:dyDescent="0.2">
      <c r="A313" s="34">
        <v>3.5500000000000004E-2</v>
      </c>
      <c r="B313" s="5">
        <f t="shared" si="4"/>
        <v>25.999999999999901</v>
      </c>
      <c r="D313" s="32"/>
      <c r="E313" s="33"/>
    </row>
    <row r="314" spans="1:5" x14ac:dyDescent="0.2">
      <c r="A314" s="34">
        <v>3.5500000000000004E-2</v>
      </c>
      <c r="B314" s="5">
        <f t="shared" si="4"/>
        <v>26.083333333333233</v>
      </c>
      <c r="D314" s="32"/>
      <c r="E314" s="33"/>
    </row>
    <row r="315" spans="1:5" x14ac:dyDescent="0.2">
      <c r="A315" s="34">
        <v>3.5500000000000004E-2</v>
      </c>
      <c r="B315" s="5">
        <f t="shared" si="4"/>
        <v>26.166666666666565</v>
      </c>
      <c r="D315" s="32"/>
      <c r="E315" s="33"/>
    </row>
    <row r="316" spans="1:5" x14ac:dyDescent="0.2">
      <c r="A316" s="34">
        <v>3.5500000000000004E-2</v>
      </c>
      <c r="B316" s="5">
        <f t="shared" si="4"/>
        <v>26.249999999999897</v>
      </c>
      <c r="D316" s="32"/>
      <c r="E316" s="33"/>
    </row>
    <row r="317" spans="1:5" x14ac:dyDescent="0.2">
      <c r="A317" s="34">
        <v>3.5500000000000004E-2</v>
      </c>
      <c r="B317" s="5">
        <f t="shared" si="4"/>
        <v>26.333333333333229</v>
      </c>
      <c r="D317" s="32"/>
      <c r="E317" s="33"/>
    </row>
    <row r="318" spans="1:5" x14ac:dyDescent="0.2">
      <c r="A318" s="34">
        <v>3.5500000000000004E-2</v>
      </c>
      <c r="B318" s="5">
        <f t="shared" si="4"/>
        <v>26.416666666666561</v>
      </c>
      <c r="D318" s="32"/>
      <c r="E318" s="33"/>
    </row>
    <row r="319" spans="1:5" x14ac:dyDescent="0.2">
      <c r="A319" s="34">
        <v>3.5500000000000004E-2</v>
      </c>
      <c r="B319" s="5">
        <f t="shared" si="4"/>
        <v>26.499999999999893</v>
      </c>
      <c r="D319" s="32"/>
      <c r="E319" s="33"/>
    </row>
    <row r="320" spans="1:5" x14ac:dyDescent="0.2">
      <c r="A320" s="34">
        <v>3.5500000000000004E-2</v>
      </c>
      <c r="B320" s="5">
        <f t="shared" si="4"/>
        <v>26.583333333333226</v>
      </c>
      <c r="D320" s="32"/>
      <c r="E320" s="33"/>
    </row>
    <row r="321" spans="1:5" x14ac:dyDescent="0.2">
      <c r="A321" s="34">
        <v>3.5500000000000004E-2</v>
      </c>
      <c r="B321" s="5">
        <f t="shared" si="4"/>
        <v>26.666666666666558</v>
      </c>
      <c r="D321" s="32"/>
      <c r="E321" s="33"/>
    </row>
    <row r="322" spans="1:5" x14ac:dyDescent="0.2">
      <c r="A322" s="34">
        <v>3.5500000000000004E-2</v>
      </c>
      <c r="B322" s="5">
        <f t="shared" si="4"/>
        <v>26.74999999999989</v>
      </c>
      <c r="D322" s="32"/>
      <c r="E322" s="33"/>
    </row>
    <row r="323" spans="1:5" x14ac:dyDescent="0.2">
      <c r="A323" s="34">
        <v>3.5500000000000004E-2</v>
      </c>
      <c r="B323" s="5">
        <f t="shared" si="4"/>
        <v>26.833333333333222</v>
      </c>
      <c r="D323" s="32"/>
      <c r="E323" s="33"/>
    </row>
    <row r="324" spans="1:5" x14ac:dyDescent="0.2">
      <c r="A324" s="34">
        <v>3.5500000000000004E-2</v>
      </c>
      <c r="B324" s="5">
        <f t="shared" ref="B324:B361" si="5">B323+1/12</f>
        <v>26.916666666666554</v>
      </c>
      <c r="D324" s="32"/>
      <c r="E324" s="33"/>
    </row>
    <row r="325" spans="1:5" x14ac:dyDescent="0.2">
      <c r="A325" s="34">
        <v>3.5500000000000004E-2</v>
      </c>
      <c r="B325" s="5">
        <f t="shared" si="5"/>
        <v>26.999999999999886</v>
      </c>
      <c r="D325" s="32"/>
      <c r="E325" s="33"/>
    </row>
    <row r="326" spans="1:5" x14ac:dyDescent="0.2">
      <c r="A326" s="34">
        <v>3.5500000000000004E-2</v>
      </c>
      <c r="B326" s="5">
        <f t="shared" si="5"/>
        <v>27.083333333333218</v>
      </c>
      <c r="D326" s="32"/>
      <c r="E326" s="33"/>
    </row>
    <row r="327" spans="1:5" x14ac:dyDescent="0.2">
      <c r="A327" s="34">
        <v>3.5500000000000004E-2</v>
      </c>
      <c r="B327" s="5">
        <f t="shared" si="5"/>
        <v>27.166666666666551</v>
      </c>
      <c r="D327" s="32"/>
      <c r="E327" s="33"/>
    </row>
    <row r="328" spans="1:5" x14ac:dyDescent="0.2">
      <c r="A328" s="34">
        <v>3.5500000000000004E-2</v>
      </c>
      <c r="B328" s="5">
        <f t="shared" si="5"/>
        <v>27.249999999999883</v>
      </c>
      <c r="D328" s="32"/>
      <c r="E328" s="33"/>
    </row>
    <row r="329" spans="1:5" x14ac:dyDescent="0.2">
      <c r="A329" s="34">
        <v>3.5500000000000004E-2</v>
      </c>
      <c r="B329" s="5">
        <f t="shared" si="5"/>
        <v>27.333333333333215</v>
      </c>
      <c r="D329" s="32"/>
      <c r="E329" s="33"/>
    </row>
    <row r="330" spans="1:5" x14ac:dyDescent="0.2">
      <c r="A330" s="34">
        <v>3.5500000000000004E-2</v>
      </c>
      <c r="B330" s="5">
        <f t="shared" si="5"/>
        <v>27.416666666666547</v>
      </c>
      <c r="D330" s="32"/>
      <c r="E330" s="33"/>
    </row>
    <row r="331" spans="1:5" x14ac:dyDescent="0.2">
      <c r="A331" s="34">
        <v>3.5500000000000004E-2</v>
      </c>
      <c r="B331" s="5">
        <f t="shared" si="5"/>
        <v>27.499999999999879</v>
      </c>
      <c r="D331" s="32"/>
      <c r="E331" s="33"/>
    </row>
    <row r="332" spans="1:5" x14ac:dyDescent="0.2">
      <c r="A332" s="34">
        <v>3.5500000000000004E-2</v>
      </c>
      <c r="B332" s="5">
        <f t="shared" si="5"/>
        <v>27.583333333333211</v>
      </c>
      <c r="D332" s="32"/>
      <c r="E332" s="33"/>
    </row>
    <row r="333" spans="1:5" x14ac:dyDescent="0.2">
      <c r="A333" s="34">
        <v>3.5500000000000004E-2</v>
      </c>
      <c r="B333" s="5">
        <f t="shared" si="5"/>
        <v>27.666666666666544</v>
      </c>
      <c r="D333" s="32"/>
      <c r="E333" s="33"/>
    </row>
    <row r="334" spans="1:5" x14ac:dyDescent="0.2">
      <c r="A334" s="34">
        <v>3.5500000000000004E-2</v>
      </c>
      <c r="B334" s="5">
        <f t="shared" si="5"/>
        <v>27.749999999999876</v>
      </c>
      <c r="D334" s="32"/>
      <c r="E334" s="33"/>
    </row>
    <row r="335" spans="1:5" x14ac:dyDescent="0.2">
      <c r="A335" s="34">
        <v>3.5500000000000004E-2</v>
      </c>
      <c r="B335" s="5">
        <f t="shared" si="5"/>
        <v>27.833333333333208</v>
      </c>
      <c r="D335" s="32"/>
      <c r="E335" s="33"/>
    </row>
    <row r="336" spans="1:5" x14ac:dyDescent="0.2">
      <c r="A336" s="34">
        <v>3.5500000000000004E-2</v>
      </c>
      <c r="B336" s="5">
        <f t="shared" si="5"/>
        <v>27.91666666666654</v>
      </c>
      <c r="D336" s="32"/>
      <c r="E336" s="33"/>
    </row>
    <row r="337" spans="1:5" x14ac:dyDescent="0.2">
      <c r="A337" s="34">
        <v>3.5500000000000004E-2</v>
      </c>
      <c r="B337" s="5">
        <f t="shared" si="5"/>
        <v>27.999999999999872</v>
      </c>
      <c r="D337" s="32"/>
      <c r="E337" s="33"/>
    </row>
    <row r="338" spans="1:5" x14ac:dyDescent="0.2">
      <c r="A338" s="34">
        <v>3.5500000000000004E-2</v>
      </c>
      <c r="B338" s="5">
        <f t="shared" si="5"/>
        <v>28.083333333333204</v>
      </c>
      <c r="D338" s="32"/>
      <c r="E338" s="33"/>
    </row>
    <row r="339" spans="1:5" x14ac:dyDescent="0.2">
      <c r="A339" s="34">
        <v>3.5500000000000004E-2</v>
      </c>
      <c r="B339" s="5">
        <f t="shared" si="5"/>
        <v>28.166666666666536</v>
      </c>
      <c r="D339" s="32"/>
      <c r="E339" s="33"/>
    </row>
    <row r="340" spans="1:5" x14ac:dyDescent="0.2">
      <c r="A340" s="34">
        <v>3.5500000000000004E-2</v>
      </c>
      <c r="B340" s="5">
        <f t="shared" si="5"/>
        <v>28.249999999999869</v>
      </c>
      <c r="D340" s="32"/>
      <c r="E340" s="33"/>
    </row>
    <row r="341" spans="1:5" x14ac:dyDescent="0.2">
      <c r="A341" s="34">
        <v>3.5500000000000004E-2</v>
      </c>
      <c r="B341" s="5">
        <f t="shared" si="5"/>
        <v>28.333333333333201</v>
      </c>
      <c r="D341" s="32"/>
      <c r="E341" s="33"/>
    </row>
    <row r="342" spans="1:5" x14ac:dyDescent="0.2">
      <c r="A342" s="34">
        <v>3.5500000000000004E-2</v>
      </c>
      <c r="B342" s="5">
        <f t="shared" si="5"/>
        <v>28.416666666666533</v>
      </c>
      <c r="D342" s="32"/>
      <c r="E342" s="33"/>
    </row>
    <row r="343" spans="1:5" x14ac:dyDescent="0.2">
      <c r="A343" s="34">
        <v>3.5500000000000004E-2</v>
      </c>
      <c r="B343" s="5">
        <f t="shared" si="5"/>
        <v>28.499999999999865</v>
      </c>
      <c r="D343" s="32"/>
      <c r="E343" s="33"/>
    </row>
    <row r="344" spans="1:5" x14ac:dyDescent="0.2">
      <c r="A344" s="34">
        <v>3.5500000000000004E-2</v>
      </c>
      <c r="B344" s="5">
        <f t="shared" si="5"/>
        <v>28.583333333333197</v>
      </c>
      <c r="D344" s="32"/>
      <c r="E344" s="33"/>
    </row>
    <row r="345" spans="1:5" x14ac:dyDescent="0.2">
      <c r="A345" s="34">
        <v>3.5500000000000004E-2</v>
      </c>
      <c r="B345" s="5">
        <f t="shared" si="5"/>
        <v>28.666666666666529</v>
      </c>
      <c r="D345" s="32"/>
      <c r="E345" s="33"/>
    </row>
    <row r="346" spans="1:5" x14ac:dyDescent="0.2">
      <c r="A346" s="34">
        <v>3.5500000000000004E-2</v>
      </c>
      <c r="B346" s="5">
        <f t="shared" si="5"/>
        <v>28.749999999999861</v>
      </c>
      <c r="D346" s="32"/>
      <c r="E346" s="33"/>
    </row>
    <row r="347" spans="1:5" x14ac:dyDescent="0.2">
      <c r="A347" s="34">
        <v>3.5500000000000004E-2</v>
      </c>
      <c r="B347" s="5">
        <f t="shared" si="5"/>
        <v>28.833333333333194</v>
      </c>
      <c r="D347" s="32"/>
      <c r="E347" s="33"/>
    </row>
    <row r="348" spans="1:5" x14ac:dyDescent="0.2">
      <c r="A348" s="34">
        <v>3.5500000000000004E-2</v>
      </c>
      <c r="B348" s="5">
        <f t="shared" si="5"/>
        <v>28.916666666666526</v>
      </c>
      <c r="D348" s="32"/>
      <c r="E348" s="33"/>
    </row>
    <row r="349" spans="1:5" x14ac:dyDescent="0.2">
      <c r="A349" s="34">
        <v>3.5500000000000004E-2</v>
      </c>
      <c r="B349" s="5">
        <f t="shared" si="5"/>
        <v>28.999999999999858</v>
      </c>
      <c r="D349" s="32"/>
      <c r="E349" s="33"/>
    </row>
    <row r="350" spans="1:5" x14ac:dyDescent="0.2">
      <c r="A350" s="34">
        <v>3.5500000000000004E-2</v>
      </c>
      <c r="B350" s="5">
        <f t="shared" si="5"/>
        <v>29.08333333333319</v>
      </c>
      <c r="D350" s="32"/>
      <c r="E350" s="33"/>
    </row>
    <row r="351" spans="1:5" x14ac:dyDescent="0.2">
      <c r="A351" s="34">
        <v>3.5500000000000004E-2</v>
      </c>
      <c r="B351" s="5">
        <f t="shared" si="5"/>
        <v>29.166666666666522</v>
      </c>
      <c r="D351" s="32"/>
      <c r="E351" s="33"/>
    </row>
    <row r="352" spans="1:5" x14ac:dyDescent="0.2">
      <c r="A352" s="34">
        <v>3.5500000000000004E-2</v>
      </c>
      <c r="B352" s="5">
        <f t="shared" si="5"/>
        <v>29.249999999999854</v>
      </c>
      <c r="D352" s="32"/>
      <c r="E352" s="33"/>
    </row>
    <row r="353" spans="1:5" x14ac:dyDescent="0.2">
      <c r="A353" s="34">
        <v>3.5500000000000004E-2</v>
      </c>
      <c r="B353" s="5">
        <f t="shared" si="5"/>
        <v>29.333333333333186</v>
      </c>
      <c r="D353" s="32"/>
      <c r="E353" s="33"/>
    </row>
    <row r="354" spans="1:5" x14ac:dyDescent="0.2">
      <c r="A354" s="34">
        <v>3.5500000000000004E-2</v>
      </c>
      <c r="B354" s="5">
        <f t="shared" si="5"/>
        <v>29.416666666666519</v>
      </c>
      <c r="D354" s="32"/>
      <c r="E354" s="33"/>
    </row>
    <row r="355" spans="1:5" x14ac:dyDescent="0.2">
      <c r="A355" s="34">
        <v>3.5500000000000004E-2</v>
      </c>
      <c r="B355" s="5">
        <f t="shared" si="5"/>
        <v>29.499999999999851</v>
      </c>
      <c r="D355" s="32"/>
      <c r="E355" s="33"/>
    </row>
    <row r="356" spans="1:5" x14ac:dyDescent="0.2">
      <c r="A356" s="34">
        <v>3.5500000000000004E-2</v>
      </c>
      <c r="B356" s="5">
        <f t="shared" si="5"/>
        <v>29.583333333333183</v>
      </c>
      <c r="D356" s="32"/>
      <c r="E356" s="33"/>
    </row>
    <row r="357" spans="1:5" x14ac:dyDescent="0.2">
      <c r="A357" s="34">
        <v>3.5500000000000004E-2</v>
      </c>
      <c r="B357" s="5">
        <f t="shared" si="5"/>
        <v>29.666666666666515</v>
      </c>
      <c r="D357" s="32"/>
      <c r="E357" s="33"/>
    </row>
    <row r="358" spans="1:5" x14ac:dyDescent="0.2">
      <c r="A358" s="34">
        <v>3.5500000000000004E-2</v>
      </c>
      <c r="B358" s="5">
        <f t="shared" si="5"/>
        <v>29.749999999999847</v>
      </c>
      <c r="D358" s="32"/>
      <c r="E358" s="33"/>
    </row>
    <row r="359" spans="1:5" x14ac:dyDescent="0.2">
      <c r="A359" s="34">
        <v>3.5500000000000004E-2</v>
      </c>
      <c r="B359" s="5">
        <f t="shared" si="5"/>
        <v>29.833333333333179</v>
      </c>
      <c r="D359" s="32"/>
      <c r="E359" s="33"/>
    </row>
    <row r="360" spans="1:5" x14ac:dyDescent="0.2">
      <c r="A360" s="34">
        <v>3.5500000000000004E-2</v>
      </c>
      <c r="B360" s="5">
        <f t="shared" si="5"/>
        <v>29.916666666666512</v>
      </c>
      <c r="D360" s="32"/>
      <c r="E360" s="33"/>
    </row>
    <row r="361" spans="1:5" x14ac:dyDescent="0.2">
      <c r="A361" s="34">
        <v>3.5500000000000004E-2</v>
      </c>
      <c r="B361" s="5">
        <f t="shared" si="5"/>
        <v>29.999999999999844</v>
      </c>
      <c r="D361" s="32"/>
      <c r="E361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E19436-D497-43A3-967D-9DFFBFF6CB88}">
  <dimension ref="A1:B2"/>
  <sheetViews>
    <sheetView showGridLines="0" workbookViewId="0">
      <selection activeCell="J18" sqref="J18"/>
    </sheetView>
  </sheetViews>
  <sheetFormatPr defaultRowHeight="12.75" x14ac:dyDescent="0.2"/>
  <cols>
    <col min="1" max="1" width="6" bestFit="1" customWidth="1"/>
    <col min="2" max="2" width="3.5" bestFit="1" customWidth="1"/>
  </cols>
  <sheetData>
    <row r="1" spans="1:2" x14ac:dyDescent="0.2">
      <c r="A1" s="16" t="s">
        <v>19</v>
      </c>
      <c r="B1" s="16" t="s">
        <v>7</v>
      </c>
    </row>
    <row r="2" spans="1:2" x14ac:dyDescent="0.2">
      <c r="A2" s="16" t="s">
        <v>16</v>
      </c>
      <c r="B2" s="16" t="s">
        <v>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    
</file>

<file path=customXml/item2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76CFDF3E-D502-40CC-8465-2BFDAD787185}">
  <ds:schemaRefs>
    <ds:schemaRef ds:uri="http://schemas.microsoft.com/SolverFoundation/"/>
    <ds:schemaRef ds:uri="http://www.w3.org/2001/XMLSchema"/>
  </ds:schemaRefs>
</ds:datastoreItem>
</file>

<file path=customXml/itemProps2.xml><?xml version="1.0" encoding="utf-8"?>
<ds:datastoreItem xmlns:ds="http://schemas.openxmlformats.org/officeDocument/2006/customXml" ds:itemID="{557F2A8B-F774-4948-A2DC-F49628CA2CE1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C# Excel</vt:lpstr>
      <vt:lpstr>C# VBA and Loan Data Input</vt:lpstr>
      <vt:lpstr>LiborCurve</vt:lpstr>
      <vt:lpstr>Choices</vt:lpstr>
      <vt:lpstr>Balance</vt:lpstr>
      <vt:lpstr>BegBalanceOutput</vt:lpstr>
      <vt:lpstr>CashCollectionsOutput</vt:lpstr>
      <vt:lpstr>CashFlowOutput</vt:lpstr>
      <vt:lpstr>EndBalanceOutput</vt:lpstr>
      <vt:lpstr>InterestOutput</vt:lpstr>
      <vt:lpstr>LiborCurve</vt:lpstr>
      <vt:lpstr>LoadLiborCurve</vt:lpstr>
      <vt:lpstr>LoadMortgageLoan</vt:lpstr>
      <vt:lpstr>LoanType</vt:lpstr>
      <vt:lpstr>Maturity</vt:lpstr>
      <vt:lpstr>PrincipalOutput</vt:lpstr>
      <vt:lpstr>Rate</vt:lpstr>
      <vt:lpstr>RepaymentType</vt:lpstr>
      <vt:lpstr>ReSetting</vt:lpstr>
      <vt:lpstr>Spread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Domenico</dc:creator>
  <cp:lastModifiedBy>Domenico Picone</cp:lastModifiedBy>
  <dcterms:created xsi:type="dcterms:W3CDTF">2014-02-18T22:11:03Z</dcterms:created>
  <dcterms:modified xsi:type="dcterms:W3CDTF">2020-07-23T11:25:27Z</dcterms:modified>
</cp:coreProperties>
</file>